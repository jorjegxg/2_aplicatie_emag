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gazin online $$$\New folder\"/>
    </mc:Choice>
  </mc:AlternateContent>
  <bookViews>
    <workbookView xWindow="0" yWindow="0" windowWidth="14496" windowHeight="5688"/>
  </bookViews>
  <sheets>
    <sheet name="ALL" sheetId="1" r:id="rId1"/>
    <sheet name="Plan de Actiune" sheetId="2" r:id="rId2"/>
    <sheet name="Costul inactiunii" sheetId="3" r:id="rId3"/>
  </sheets>
  <calcPr calcId="162913"/>
</workbook>
</file>

<file path=xl/calcChain.xml><?xml version="1.0" encoding="utf-8"?>
<calcChain xmlns="http://schemas.openxmlformats.org/spreadsheetml/2006/main">
  <c r="D19" i="3" l="1"/>
  <c r="D24" i="3" s="1"/>
  <c r="D18" i="3"/>
  <c r="D5" i="3"/>
  <c r="C11" i="2"/>
  <c r="F6" i="2"/>
  <c r="G6" i="2" s="1"/>
  <c r="F5" i="2"/>
  <c r="G5" i="2" s="1"/>
  <c r="F4" i="2"/>
  <c r="G2" i="2"/>
  <c r="AA90" i="1"/>
  <c r="Z90" i="1"/>
  <c r="U90" i="1"/>
  <c r="G90" i="1"/>
  <c r="AA89" i="1"/>
  <c r="Z89" i="1"/>
  <c r="U89" i="1"/>
  <c r="G89" i="1"/>
  <c r="AA88" i="1"/>
  <c r="Z88" i="1"/>
  <c r="W88" i="1"/>
  <c r="V88" i="1"/>
  <c r="U88" i="1"/>
  <c r="G88" i="1"/>
  <c r="AA87" i="1"/>
  <c r="Z87" i="1"/>
  <c r="V87" i="1"/>
  <c r="W87" i="1" s="1"/>
  <c r="U87" i="1"/>
  <c r="G87" i="1"/>
  <c r="AA86" i="1"/>
  <c r="Z86" i="1"/>
  <c r="U86" i="1"/>
  <c r="G86" i="1"/>
  <c r="AA85" i="1"/>
  <c r="Z85" i="1"/>
  <c r="U85" i="1"/>
  <c r="G85" i="1"/>
  <c r="AA84" i="1"/>
  <c r="Z84" i="1"/>
  <c r="W84" i="1"/>
  <c r="V84" i="1"/>
  <c r="U84" i="1"/>
  <c r="G84" i="1"/>
  <c r="AA83" i="1"/>
  <c r="Z83" i="1"/>
  <c r="V83" i="1"/>
  <c r="W83" i="1" s="1"/>
  <c r="U83" i="1"/>
  <c r="G83" i="1"/>
  <c r="AA82" i="1"/>
  <c r="Z82" i="1"/>
  <c r="U82" i="1"/>
  <c r="G82" i="1"/>
  <c r="AA81" i="1"/>
  <c r="Z81" i="1"/>
  <c r="U81" i="1"/>
  <c r="G81" i="1"/>
  <c r="AA80" i="1"/>
  <c r="Z80" i="1"/>
  <c r="W80" i="1"/>
  <c r="V80" i="1"/>
  <c r="U80" i="1"/>
  <c r="G80" i="1"/>
  <c r="AA79" i="1"/>
  <c r="Z79" i="1"/>
  <c r="V79" i="1"/>
  <c r="W79" i="1" s="1"/>
  <c r="U79" i="1"/>
  <c r="G79" i="1"/>
  <c r="AA78" i="1"/>
  <c r="Z78" i="1"/>
  <c r="U78" i="1"/>
  <c r="G78" i="1"/>
  <c r="AA77" i="1"/>
  <c r="Z77" i="1"/>
  <c r="U77" i="1"/>
  <c r="G77" i="1"/>
  <c r="AA76" i="1"/>
  <c r="Z76" i="1"/>
  <c r="W76" i="1"/>
  <c r="V76" i="1"/>
  <c r="U76" i="1"/>
  <c r="G76" i="1"/>
  <c r="AA75" i="1"/>
  <c r="Z75" i="1"/>
  <c r="V75" i="1"/>
  <c r="W75" i="1" s="1"/>
  <c r="U75" i="1"/>
  <c r="G75" i="1"/>
  <c r="AA74" i="1"/>
  <c r="Z74" i="1"/>
  <c r="U74" i="1"/>
  <c r="G74" i="1"/>
  <c r="AA73" i="1"/>
  <c r="Z73" i="1"/>
  <c r="U73" i="1"/>
  <c r="G73" i="1"/>
  <c r="AA72" i="1"/>
  <c r="Z72" i="1"/>
  <c r="W72" i="1"/>
  <c r="V72" i="1"/>
  <c r="U72" i="1"/>
  <c r="G72" i="1"/>
  <c r="AA71" i="1"/>
  <c r="Z71" i="1"/>
  <c r="V71" i="1"/>
  <c r="W71" i="1" s="1"/>
  <c r="U71" i="1"/>
  <c r="G71" i="1"/>
  <c r="AA70" i="1"/>
  <c r="Z70" i="1"/>
  <c r="U70" i="1"/>
  <c r="G70" i="1"/>
  <c r="AA69" i="1"/>
  <c r="Z69" i="1"/>
  <c r="U69" i="1"/>
  <c r="G69" i="1"/>
  <c r="AA68" i="1"/>
  <c r="Z68" i="1"/>
  <c r="V68" i="1"/>
  <c r="U68" i="1"/>
  <c r="G68" i="1"/>
  <c r="AA67" i="1"/>
  <c r="Z67" i="1"/>
  <c r="V67" i="1"/>
  <c r="W67" i="1" s="1"/>
  <c r="U67" i="1"/>
  <c r="G67" i="1"/>
  <c r="AA66" i="1"/>
  <c r="Z66" i="1"/>
  <c r="U66" i="1"/>
  <c r="G66" i="1"/>
  <c r="AA65" i="1"/>
  <c r="Z65" i="1"/>
  <c r="U65" i="1"/>
  <c r="G65" i="1"/>
  <c r="AA64" i="1"/>
  <c r="Z64" i="1"/>
  <c r="W64" i="1"/>
  <c r="V64" i="1"/>
  <c r="U64" i="1"/>
  <c r="G64" i="1"/>
  <c r="AA63" i="1"/>
  <c r="Z63" i="1"/>
  <c r="V63" i="1"/>
  <c r="W63" i="1" s="1"/>
  <c r="U63" i="1"/>
  <c r="G63" i="1"/>
  <c r="AA62" i="1"/>
  <c r="Z62" i="1"/>
  <c r="V62" i="1"/>
  <c r="U62" i="1"/>
  <c r="G62" i="1"/>
  <c r="AA61" i="1"/>
  <c r="Z61" i="1"/>
  <c r="U61" i="1"/>
  <c r="G61" i="1"/>
  <c r="AA60" i="1"/>
  <c r="Z60" i="1"/>
  <c r="U60" i="1"/>
  <c r="V60" i="1" s="1"/>
  <c r="G60" i="1"/>
  <c r="AA59" i="1"/>
  <c r="Z59" i="1"/>
  <c r="U59" i="1"/>
  <c r="G59" i="1"/>
  <c r="AA58" i="1"/>
  <c r="Z58" i="1"/>
  <c r="U58" i="1"/>
  <c r="G58" i="1"/>
  <c r="AA57" i="1"/>
  <c r="Z57" i="1"/>
  <c r="U57" i="1"/>
  <c r="V57" i="1" s="1"/>
  <c r="W57" i="1" s="1"/>
  <c r="G57" i="1"/>
  <c r="AA56" i="1"/>
  <c r="Z56" i="1"/>
  <c r="W56" i="1"/>
  <c r="V56" i="1"/>
  <c r="U56" i="1"/>
  <c r="G56" i="1"/>
  <c r="AA55" i="1"/>
  <c r="Z55" i="1"/>
  <c r="U55" i="1"/>
  <c r="G55" i="1"/>
  <c r="AA54" i="1"/>
  <c r="Z54" i="1"/>
  <c r="U54" i="1"/>
  <c r="G54" i="1"/>
  <c r="AA53" i="1"/>
  <c r="Z53" i="1"/>
  <c r="V53" i="1"/>
  <c r="W53" i="1" s="1"/>
  <c r="U53" i="1"/>
  <c r="G53" i="1"/>
  <c r="AA52" i="1"/>
  <c r="Z52" i="1"/>
  <c r="W52" i="1"/>
  <c r="V52" i="1"/>
  <c r="U52" i="1"/>
  <c r="G52" i="1"/>
  <c r="AA51" i="1"/>
  <c r="Z51" i="1"/>
  <c r="U51" i="1"/>
  <c r="G51" i="1"/>
  <c r="AA50" i="1"/>
  <c r="Z50" i="1"/>
  <c r="U50" i="1"/>
  <c r="V50" i="1" s="1"/>
  <c r="W50" i="1" s="1"/>
  <c r="G50" i="1"/>
  <c r="AA49" i="1"/>
  <c r="Z49" i="1"/>
  <c r="U49" i="1"/>
  <c r="G49" i="1"/>
  <c r="AA48" i="1"/>
  <c r="Z48" i="1"/>
  <c r="W48" i="1"/>
  <c r="V48" i="1"/>
  <c r="U48" i="1"/>
  <c r="I48" i="1"/>
  <c r="G48" i="1"/>
  <c r="AA47" i="1"/>
  <c r="Z47" i="1"/>
  <c r="U47" i="1"/>
  <c r="G47" i="1"/>
  <c r="AA46" i="1"/>
  <c r="Z46" i="1"/>
  <c r="U46" i="1"/>
  <c r="G46" i="1"/>
  <c r="AA45" i="1"/>
  <c r="Z45" i="1"/>
  <c r="U45" i="1"/>
  <c r="G45" i="1"/>
  <c r="AA44" i="1"/>
  <c r="Z44" i="1"/>
  <c r="W44" i="1"/>
  <c r="V44" i="1"/>
  <c r="U44" i="1"/>
  <c r="G44" i="1"/>
  <c r="AA43" i="1"/>
  <c r="Z43" i="1"/>
  <c r="U43" i="1"/>
  <c r="G43" i="1"/>
  <c r="AA42" i="1"/>
  <c r="Z42" i="1"/>
  <c r="U42" i="1"/>
  <c r="G42" i="1"/>
  <c r="AA41" i="1"/>
  <c r="Z41" i="1"/>
  <c r="U41" i="1"/>
  <c r="G41" i="1"/>
  <c r="AA40" i="1"/>
  <c r="Z40" i="1"/>
  <c r="U40" i="1"/>
  <c r="J40" i="1"/>
  <c r="I40" i="1"/>
  <c r="K40" i="1" s="1"/>
  <c r="G40" i="1"/>
  <c r="AA39" i="1"/>
  <c r="Z39" i="1"/>
  <c r="U39" i="1"/>
  <c r="G39" i="1"/>
  <c r="AA38" i="1"/>
  <c r="Z38" i="1"/>
  <c r="W38" i="1"/>
  <c r="V38" i="1"/>
  <c r="U38" i="1"/>
  <c r="G38" i="1"/>
  <c r="AA37" i="1"/>
  <c r="Z37" i="1"/>
  <c r="U37" i="1"/>
  <c r="G37" i="1"/>
  <c r="AA36" i="1"/>
  <c r="Z36" i="1"/>
  <c r="U36" i="1"/>
  <c r="J36" i="1"/>
  <c r="I36" i="1"/>
  <c r="K36" i="1" s="1"/>
  <c r="G36" i="1"/>
  <c r="AA35" i="1"/>
  <c r="Z35" i="1"/>
  <c r="U35" i="1"/>
  <c r="V35" i="1" s="1"/>
  <c r="G35" i="1"/>
  <c r="U34" i="1"/>
  <c r="S34" i="1"/>
  <c r="C21" i="1"/>
  <c r="C14" i="1"/>
  <c r="C12" i="1"/>
  <c r="W35" i="1" l="1"/>
  <c r="P40" i="1"/>
  <c r="K48" i="1"/>
  <c r="M48" i="1"/>
  <c r="O48" i="1" s="1"/>
  <c r="I89" i="1"/>
  <c r="I85" i="1"/>
  <c r="I81" i="1"/>
  <c r="I77" i="1"/>
  <c r="I73" i="1"/>
  <c r="I69" i="1"/>
  <c r="I65" i="1"/>
  <c r="I61" i="1"/>
  <c r="I88" i="1"/>
  <c r="I84" i="1"/>
  <c r="I80" i="1"/>
  <c r="I76" i="1"/>
  <c r="I72" i="1"/>
  <c r="I68" i="1"/>
  <c r="I64" i="1"/>
  <c r="I87" i="1"/>
  <c r="I83" i="1"/>
  <c r="I79" i="1"/>
  <c r="I75" i="1"/>
  <c r="I71" i="1"/>
  <c r="I66" i="1"/>
  <c r="K66" i="1" s="1"/>
  <c r="I62" i="1"/>
  <c r="K62" i="1" s="1"/>
  <c r="I90" i="1"/>
  <c r="K90" i="1" s="1"/>
  <c r="I86" i="1"/>
  <c r="K86" i="1" s="1"/>
  <c r="I82" i="1"/>
  <c r="K82" i="1" s="1"/>
  <c r="I78" i="1"/>
  <c r="K78" i="1" s="1"/>
  <c r="I74" i="1"/>
  <c r="K74" i="1" s="1"/>
  <c r="I70" i="1"/>
  <c r="K70" i="1" s="1"/>
  <c r="I57" i="1"/>
  <c r="I53" i="1"/>
  <c r="I49" i="1"/>
  <c r="I45" i="1"/>
  <c r="O45" i="1" s="1"/>
  <c r="I67" i="1"/>
  <c r="I60" i="1"/>
  <c r="I56" i="1"/>
  <c r="I52" i="1"/>
  <c r="I63" i="1"/>
  <c r="I59" i="1"/>
  <c r="I46" i="1"/>
  <c r="I39" i="1"/>
  <c r="I35" i="1"/>
  <c r="I38" i="1"/>
  <c r="I51" i="1"/>
  <c r="I43" i="1"/>
  <c r="I55" i="1"/>
  <c r="I50" i="1"/>
  <c r="I58" i="1"/>
  <c r="I37" i="1"/>
  <c r="K37" i="1" s="1"/>
  <c r="M37" i="1" s="1"/>
  <c r="I42" i="1"/>
  <c r="I41" i="1"/>
  <c r="J89" i="1"/>
  <c r="J85" i="1"/>
  <c r="J81" i="1"/>
  <c r="J77" i="1"/>
  <c r="J73" i="1"/>
  <c r="J88" i="1"/>
  <c r="L88" i="1" s="1"/>
  <c r="J84" i="1"/>
  <c r="L84" i="1" s="1"/>
  <c r="J80" i="1"/>
  <c r="L80" i="1" s="1"/>
  <c r="J76" i="1"/>
  <c r="L76" i="1" s="1"/>
  <c r="J72" i="1"/>
  <c r="L72" i="1" s="1"/>
  <c r="J68" i="1"/>
  <c r="L68" i="1" s="1"/>
  <c r="J87" i="1"/>
  <c r="J83" i="1"/>
  <c r="J79" i="1"/>
  <c r="J75" i="1"/>
  <c r="J71" i="1"/>
  <c r="J90" i="1"/>
  <c r="J86" i="1"/>
  <c r="J82" i="1"/>
  <c r="J78" i="1"/>
  <c r="J74" i="1"/>
  <c r="J70" i="1"/>
  <c r="J66" i="1"/>
  <c r="J57" i="1"/>
  <c r="J53" i="1"/>
  <c r="J49" i="1"/>
  <c r="J67" i="1"/>
  <c r="J65" i="1"/>
  <c r="J60" i="1"/>
  <c r="J56" i="1"/>
  <c r="J52" i="1"/>
  <c r="J48" i="1"/>
  <c r="L48" i="1" s="1"/>
  <c r="N48" i="1" s="1"/>
  <c r="J63" i="1"/>
  <c r="L63" i="1" s="1"/>
  <c r="J69" i="1"/>
  <c r="J61" i="1"/>
  <c r="J59" i="1"/>
  <c r="J55" i="1"/>
  <c r="P55" i="1" s="1"/>
  <c r="J51" i="1"/>
  <c r="J46" i="1"/>
  <c r="L46" i="1" s="1"/>
  <c r="J39" i="1"/>
  <c r="J35" i="1"/>
  <c r="J62" i="1"/>
  <c r="J50" i="1"/>
  <c r="L50" i="1" s="1"/>
  <c r="J38" i="1"/>
  <c r="J44" i="1"/>
  <c r="L44" i="1" s="1"/>
  <c r="J54" i="1"/>
  <c r="L54" i="1" s="1"/>
  <c r="J42" i="1"/>
  <c r="J64" i="1"/>
  <c r="J58" i="1"/>
  <c r="L58" i="1" s="1"/>
  <c r="J43" i="1"/>
  <c r="L43" i="1" s="1"/>
  <c r="N43" i="1" s="1"/>
  <c r="J41" i="1"/>
  <c r="J37" i="1"/>
  <c r="K45" i="1"/>
  <c r="M45" i="1" s="1"/>
  <c r="J47" i="1"/>
  <c r="L37" i="1"/>
  <c r="I44" i="1"/>
  <c r="I47" i="1"/>
  <c r="K47" i="1" s="1"/>
  <c r="K38" i="1"/>
  <c r="J45" i="1"/>
  <c r="P51" i="1"/>
  <c r="K63" i="1"/>
  <c r="M63" i="1" s="1"/>
  <c r="K43" i="1"/>
  <c r="M43" i="1" s="1"/>
  <c r="K41" i="1"/>
  <c r="V39" i="1"/>
  <c r="V45" i="1"/>
  <c r="I54" i="1"/>
  <c r="V82" i="1"/>
  <c r="W82" i="1" s="1"/>
  <c r="K80" i="1"/>
  <c r="W62" i="1"/>
  <c r="V70" i="1"/>
  <c r="W70" i="1" s="1"/>
  <c r="L36" i="1"/>
  <c r="P36" i="1" s="1"/>
  <c r="L40" i="1"/>
  <c r="V40" i="1"/>
  <c r="N55" i="1"/>
  <c r="L55" i="1"/>
  <c r="K55" i="1"/>
  <c r="M55" i="1" s="1"/>
  <c r="O55" i="1" s="1"/>
  <c r="K84" i="1"/>
  <c r="L60" i="1"/>
  <c r="V86" i="1"/>
  <c r="W86" i="1" s="1"/>
  <c r="V36" i="1"/>
  <c r="M40" i="1"/>
  <c r="V43" i="1"/>
  <c r="K61" i="1"/>
  <c r="M61" i="1" s="1"/>
  <c r="O61" i="1" s="1"/>
  <c r="V74" i="1"/>
  <c r="W74" i="1" s="1"/>
  <c r="V90" i="1"/>
  <c r="W90" i="1" s="1"/>
  <c r="V49" i="1"/>
  <c r="M36" i="1"/>
  <c r="O36" i="1" s="1"/>
  <c r="N36" i="1"/>
  <c r="V37" i="1"/>
  <c r="N40" i="1"/>
  <c r="V41" i="1"/>
  <c r="V42" i="1"/>
  <c r="P46" i="1"/>
  <c r="L52" i="1"/>
  <c r="V54" i="1"/>
  <c r="L59" i="1"/>
  <c r="N59" i="1" s="1"/>
  <c r="K59" i="1"/>
  <c r="M59" i="1" s="1"/>
  <c r="W60" i="1"/>
  <c r="K72" i="1"/>
  <c r="O40" i="1"/>
  <c r="L42" i="1"/>
  <c r="V46" i="1"/>
  <c r="W68" i="1"/>
  <c r="V78" i="1"/>
  <c r="W78" i="1" s="1"/>
  <c r="N51" i="1"/>
  <c r="M51" i="1"/>
  <c r="L51" i="1"/>
  <c r="K51" i="1"/>
  <c r="O51" i="1" s="1"/>
  <c r="N47" i="1"/>
  <c r="M47" i="1"/>
  <c r="O47" i="1" s="1"/>
  <c r="L47" i="1"/>
  <c r="P47" i="1" s="1"/>
  <c r="V47" i="1"/>
  <c r="P54" i="1"/>
  <c r="L56" i="1"/>
  <c r="V58" i="1"/>
  <c r="V61" i="1"/>
  <c r="K76" i="1"/>
  <c r="N46" i="1"/>
  <c r="V51" i="1"/>
  <c r="N54" i="1"/>
  <c r="V55" i="1"/>
  <c r="N58" i="1"/>
  <c r="P58" i="1" s="1"/>
  <c r="V59" i="1"/>
  <c r="V65" i="1"/>
  <c r="V66" i="1"/>
  <c r="K68" i="1"/>
  <c r="P86" i="1"/>
  <c r="P90" i="1"/>
  <c r="K52" i="1"/>
  <c r="K56" i="1"/>
  <c r="K60" i="1"/>
  <c r="O62" i="1"/>
  <c r="X62" i="1" s="1"/>
  <c r="M62" i="1"/>
  <c r="K65" i="1"/>
  <c r="M66" i="1"/>
  <c r="O66" i="1" s="1"/>
  <c r="M75" i="1"/>
  <c r="K64" i="1"/>
  <c r="L65" i="1"/>
  <c r="V69" i="1"/>
  <c r="W69" i="1" s="1"/>
  <c r="V73" i="1"/>
  <c r="W73" i="1" s="1"/>
  <c r="V77" i="1"/>
  <c r="W77" i="1" s="1"/>
  <c r="V81" i="1"/>
  <c r="W81" i="1" s="1"/>
  <c r="V85" i="1"/>
  <c r="W85" i="1" s="1"/>
  <c r="V89" i="1"/>
  <c r="W89" i="1" s="1"/>
  <c r="G14" i="2"/>
  <c r="G4" i="2"/>
  <c r="G10" i="2" s="1"/>
  <c r="I11" i="2" s="1"/>
  <c r="N72" i="1"/>
  <c r="P72" i="1" s="1"/>
  <c r="L73" i="1"/>
  <c r="N76" i="1"/>
  <c r="L77" i="1"/>
  <c r="N80" i="1"/>
  <c r="N84" i="1"/>
  <c r="L85" i="1"/>
  <c r="P85" i="1" s="1"/>
  <c r="N88" i="1"/>
  <c r="L89" i="1"/>
  <c r="L70" i="1"/>
  <c r="N70" i="1" s="1"/>
  <c r="L74" i="1"/>
  <c r="P74" i="1" s="1"/>
  <c r="P76" i="1"/>
  <c r="L78" i="1"/>
  <c r="P78" i="1" s="1"/>
  <c r="P80" i="1"/>
  <c r="P84" i="1"/>
  <c r="N85" i="1"/>
  <c r="L86" i="1"/>
  <c r="P88" i="1"/>
  <c r="L90" i="1"/>
  <c r="K67" i="1"/>
  <c r="M70" i="1"/>
  <c r="K71" i="1"/>
  <c r="M71" i="1" s="1"/>
  <c r="M74" i="1"/>
  <c r="O74" i="1" s="1"/>
  <c r="K75" i="1"/>
  <c r="M78" i="1"/>
  <c r="O78" i="1" s="1"/>
  <c r="K79" i="1"/>
  <c r="M79" i="1" s="1"/>
  <c r="M86" i="1"/>
  <c r="O86" i="1" s="1"/>
  <c r="K87" i="1"/>
  <c r="M87" i="1" s="1"/>
  <c r="M90" i="1"/>
  <c r="L71" i="1"/>
  <c r="N74" i="1"/>
  <c r="N78" i="1"/>
  <c r="L79" i="1"/>
  <c r="L83" i="1"/>
  <c r="N86" i="1"/>
  <c r="L87" i="1"/>
  <c r="N90" i="1"/>
  <c r="O70" i="1"/>
  <c r="X70" i="1" s="1"/>
  <c r="O90" i="1"/>
  <c r="AI36" i="1" l="1"/>
  <c r="AF36" i="1"/>
  <c r="Q36" i="1"/>
  <c r="AG36" i="1"/>
  <c r="AJ36" i="1"/>
  <c r="R36" i="1"/>
  <c r="O41" i="1"/>
  <c r="P37" i="1"/>
  <c r="Y37" i="1" s="1"/>
  <c r="AG58" i="1"/>
  <c r="AJ58" i="1"/>
  <c r="AI74" i="1"/>
  <c r="AF74" i="1"/>
  <c r="Q74" i="1"/>
  <c r="X74" i="1"/>
  <c r="AD80" i="1"/>
  <c r="AE80" i="1" s="1"/>
  <c r="AI45" i="1"/>
  <c r="AF45" i="1"/>
  <c r="AF48" i="1"/>
  <c r="Q48" i="1"/>
  <c r="AI48" i="1"/>
  <c r="X48" i="1"/>
  <c r="AB48" i="1"/>
  <c r="AC48" i="1" s="1"/>
  <c r="AF66" i="1"/>
  <c r="AI66" i="1"/>
  <c r="P77" i="1"/>
  <c r="Y77" i="1" s="1"/>
  <c r="AF47" i="1"/>
  <c r="AI47" i="1"/>
  <c r="Q47" i="1"/>
  <c r="N44" i="1"/>
  <c r="P44" i="1" s="1"/>
  <c r="R55" i="1"/>
  <c r="AJ55" i="1"/>
  <c r="AG55" i="1"/>
  <c r="P63" i="1"/>
  <c r="N63" i="1"/>
  <c r="AJ47" i="1"/>
  <c r="R47" i="1"/>
  <c r="AG47" i="1"/>
  <c r="AI86" i="1"/>
  <c r="AF86" i="1"/>
  <c r="Q86" i="1"/>
  <c r="X86" i="1"/>
  <c r="AG74" i="1"/>
  <c r="R74" i="1"/>
  <c r="AJ74" i="1"/>
  <c r="P83" i="1"/>
  <c r="AF51" i="1"/>
  <c r="Q51" i="1"/>
  <c r="AI51" i="1"/>
  <c r="AF55" i="1"/>
  <c r="Q55" i="1"/>
  <c r="AI55" i="1"/>
  <c r="AJ85" i="1"/>
  <c r="AG85" i="1"/>
  <c r="AG78" i="1"/>
  <c r="R78" i="1"/>
  <c r="AJ78" i="1"/>
  <c r="Y78" i="1"/>
  <c r="AD78" i="1" s="1"/>
  <c r="AE78" i="1" s="1"/>
  <c r="P87" i="1"/>
  <c r="AI78" i="1"/>
  <c r="AF78" i="1"/>
  <c r="Q78" i="1"/>
  <c r="R72" i="1"/>
  <c r="AJ72" i="1"/>
  <c r="Y72" i="1"/>
  <c r="AD72" i="1" s="1"/>
  <c r="AE72" i="1" s="1"/>
  <c r="AG72" i="1"/>
  <c r="AI61" i="1"/>
  <c r="AF61" i="1"/>
  <c r="W51" i="1"/>
  <c r="AB51" i="1"/>
  <c r="AC51" i="1" s="1"/>
  <c r="Y51" i="1"/>
  <c r="AD51" i="1" s="1"/>
  <c r="AE51" i="1" s="1"/>
  <c r="W43" i="1"/>
  <c r="M35" i="1"/>
  <c r="K35" i="1"/>
  <c r="O35" i="1" s="1"/>
  <c r="AG40" i="1"/>
  <c r="R40" i="1"/>
  <c r="AJ40" i="1"/>
  <c r="N82" i="1"/>
  <c r="P82" i="1" s="1"/>
  <c r="L82" i="1"/>
  <c r="P68" i="1"/>
  <c r="L81" i="1"/>
  <c r="Y85" i="1"/>
  <c r="N50" i="1"/>
  <c r="P50" i="1" s="1"/>
  <c r="W42" i="1"/>
  <c r="Y74" i="1"/>
  <c r="Y86" i="1"/>
  <c r="W40" i="1"/>
  <c r="L41" i="1"/>
  <c r="K44" i="1"/>
  <c r="O43" i="1"/>
  <c r="O63" i="1"/>
  <c r="L45" i="1"/>
  <c r="N62" i="1"/>
  <c r="P62" i="1" s="1"/>
  <c r="L62" i="1"/>
  <c r="N69" i="1"/>
  <c r="P69" i="1" s="1"/>
  <c r="L69" i="1"/>
  <c r="N49" i="1"/>
  <c r="L49" i="1"/>
  <c r="K39" i="1"/>
  <c r="O87" i="1"/>
  <c r="M41" i="1"/>
  <c r="N37" i="1"/>
  <c r="L35" i="1"/>
  <c r="N35" i="1" s="1"/>
  <c r="N53" i="1"/>
  <c r="L53" i="1"/>
  <c r="M58" i="1"/>
  <c r="K58" i="1"/>
  <c r="M46" i="1"/>
  <c r="K46" i="1"/>
  <c r="K49" i="1"/>
  <c r="M49" i="1" s="1"/>
  <c r="O49" i="1" s="1"/>
  <c r="M64" i="1"/>
  <c r="O64" i="1" s="1"/>
  <c r="M65" i="1"/>
  <c r="O65" i="1" s="1"/>
  <c r="P70" i="1"/>
  <c r="K89" i="1"/>
  <c r="N89" i="1"/>
  <c r="P89" i="1" s="1"/>
  <c r="AJ88" i="1"/>
  <c r="Y88" i="1"/>
  <c r="AG88" i="1"/>
  <c r="W66" i="1"/>
  <c r="AD58" i="1"/>
  <c r="AE58" i="1" s="1"/>
  <c r="X90" i="1"/>
  <c r="AB90" i="1" s="1"/>
  <c r="AC90" i="1" s="1"/>
  <c r="L61" i="1"/>
  <c r="P61" i="1" s="1"/>
  <c r="AB62" i="1"/>
  <c r="AC62" i="1" s="1"/>
  <c r="L64" i="1"/>
  <c r="N64" i="1" s="1"/>
  <c r="N39" i="1"/>
  <c r="L39" i="1"/>
  <c r="N57" i="1"/>
  <c r="L57" i="1"/>
  <c r="N71" i="1"/>
  <c r="P71" i="1" s="1"/>
  <c r="K50" i="1"/>
  <c r="O59" i="1"/>
  <c r="X59" i="1" s="1"/>
  <c r="K53" i="1"/>
  <c r="M53" i="1" s="1"/>
  <c r="O53" i="1" s="1"/>
  <c r="M68" i="1"/>
  <c r="O68" i="1"/>
  <c r="K69" i="1"/>
  <c r="O37" i="1"/>
  <c r="W46" i="1"/>
  <c r="AD46" i="1" s="1"/>
  <c r="AE46" i="1" s="1"/>
  <c r="K42" i="1"/>
  <c r="AI90" i="1"/>
  <c r="AF90" i="1"/>
  <c r="Q90" i="1"/>
  <c r="AJ80" i="1"/>
  <c r="Y80" i="1"/>
  <c r="AG80" i="1"/>
  <c r="K83" i="1"/>
  <c r="M83" i="1" s="1"/>
  <c r="W65" i="1"/>
  <c r="W55" i="1"/>
  <c r="Y55" i="1"/>
  <c r="Y65" i="1"/>
  <c r="W47" i="1"/>
  <c r="Y47" i="1"/>
  <c r="K88" i="1"/>
  <c r="M88" i="1" s="1"/>
  <c r="O88" i="1" s="1"/>
  <c r="W41" i="1"/>
  <c r="X41" i="1" s="1"/>
  <c r="W49" i="1"/>
  <c r="Y90" i="1"/>
  <c r="AD90" i="1" s="1"/>
  <c r="AE90" i="1" s="1"/>
  <c r="W36" i="1"/>
  <c r="X36" i="1" s="1"/>
  <c r="P49" i="1"/>
  <c r="Y40" i="1"/>
  <c r="P42" i="1"/>
  <c r="N42" i="1"/>
  <c r="N52" i="1"/>
  <c r="P52" i="1" s="1"/>
  <c r="L66" i="1"/>
  <c r="N66" i="1" s="1"/>
  <c r="P66" i="1"/>
  <c r="L75" i="1"/>
  <c r="K57" i="1"/>
  <c r="O72" i="1"/>
  <c r="M72" i="1"/>
  <c r="K73" i="1"/>
  <c r="AI70" i="1"/>
  <c r="AF70" i="1"/>
  <c r="Q70" i="1"/>
  <c r="W59" i="1"/>
  <c r="Y59" i="1"/>
  <c r="W58" i="1"/>
  <c r="AI40" i="1"/>
  <c r="AF40" i="1"/>
  <c r="Q40" i="1"/>
  <c r="M82" i="1"/>
  <c r="O82" i="1" s="1"/>
  <c r="AJ76" i="1"/>
  <c r="Y76" i="1"/>
  <c r="AD76" i="1" s="1"/>
  <c r="AE76" i="1" s="1"/>
  <c r="AG76" i="1"/>
  <c r="N68" i="1"/>
  <c r="Y58" i="1"/>
  <c r="X78" i="1"/>
  <c r="AB78" i="1" s="1"/>
  <c r="AC78" i="1" s="1"/>
  <c r="Y46" i="1"/>
  <c r="AB74" i="1"/>
  <c r="AC74" i="1" s="1"/>
  <c r="N61" i="1"/>
  <c r="AB86" i="1"/>
  <c r="AC86" i="1" s="1"/>
  <c r="M44" i="1"/>
  <c r="O44" i="1" s="1"/>
  <c r="Y36" i="1"/>
  <c r="AD36" i="1" s="1"/>
  <c r="AE36" i="1" s="1"/>
  <c r="N56" i="1"/>
  <c r="P56" i="1" s="1"/>
  <c r="N79" i="1"/>
  <c r="P79" i="1" s="1"/>
  <c r="M52" i="1"/>
  <c r="O52" i="1"/>
  <c r="O71" i="1"/>
  <c r="M76" i="1"/>
  <c r="O76" i="1" s="1"/>
  <c r="M77" i="1"/>
  <c r="K77" i="1"/>
  <c r="P48" i="1"/>
  <c r="L67" i="1"/>
  <c r="N67" i="1" s="1"/>
  <c r="P67" i="1" s="1"/>
  <c r="AG90" i="1"/>
  <c r="R90" i="1"/>
  <c r="AJ90" i="1"/>
  <c r="AG46" i="1"/>
  <c r="AJ46" i="1"/>
  <c r="AB70" i="1"/>
  <c r="AC70" i="1" s="1"/>
  <c r="N60" i="1"/>
  <c r="P60" i="1" s="1"/>
  <c r="Y60" i="1" s="1"/>
  <c r="N83" i="1"/>
  <c r="N73" i="1"/>
  <c r="P73" i="1" s="1"/>
  <c r="M56" i="1"/>
  <c r="O56" i="1" s="1"/>
  <c r="O75" i="1"/>
  <c r="O80" i="1"/>
  <c r="R80" i="1" s="1"/>
  <c r="M80" i="1"/>
  <c r="M81" i="1"/>
  <c r="K81" i="1"/>
  <c r="P43" i="1"/>
  <c r="AG86" i="1"/>
  <c r="R86" i="1"/>
  <c r="AJ86" i="1"/>
  <c r="AG54" i="1"/>
  <c r="AJ54" i="1"/>
  <c r="W45" i="1"/>
  <c r="AF62" i="1"/>
  <c r="AI62" i="1"/>
  <c r="X51" i="1"/>
  <c r="R51" i="1"/>
  <c r="AJ51" i="1"/>
  <c r="AG51" i="1"/>
  <c r="AJ84" i="1"/>
  <c r="Y84" i="1"/>
  <c r="AD84" i="1" s="1"/>
  <c r="AE84" i="1" s="1"/>
  <c r="AG84" i="1"/>
  <c r="AD85" i="1"/>
  <c r="AE85" i="1" s="1"/>
  <c r="AD88" i="1"/>
  <c r="AE88" i="1" s="1"/>
  <c r="AD59" i="1"/>
  <c r="AE59" i="1" s="1"/>
  <c r="M67" i="1"/>
  <c r="O67" i="1" s="1"/>
  <c r="W61" i="1"/>
  <c r="W54" i="1"/>
  <c r="W37" i="1"/>
  <c r="AD74" i="1"/>
  <c r="AE74" i="1" s="1"/>
  <c r="AD86" i="1"/>
  <c r="AE86" i="1" s="1"/>
  <c r="K54" i="1"/>
  <c r="W39" i="1"/>
  <c r="L38" i="1"/>
  <c r="N38" i="1"/>
  <c r="P59" i="1"/>
  <c r="P65" i="1"/>
  <c r="N65" i="1"/>
  <c r="N87" i="1"/>
  <c r="N77" i="1"/>
  <c r="O38" i="1"/>
  <c r="M38" i="1"/>
  <c r="M60" i="1"/>
  <c r="O60" i="1" s="1"/>
  <c r="O79" i="1"/>
  <c r="M84" i="1"/>
  <c r="O84" i="1" s="1"/>
  <c r="K85" i="1"/>
  <c r="M85" i="1" s="1"/>
  <c r="Q88" i="1" l="1"/>
  <c r="AI88" i="1"/>
  <c r="AF88" i="1"/>
  <c r="X88" i="1"/>
  <c r="AB88" i="1" s="1"/>
  <c r="AC88" i="1" s="1"/>
  <c r="R88" i="1"/>
  <c r="AI64" i="1"/>
  <c r="AF64" i="1"/>
  <c r="X64" i="1"/>
  <c r="AB64" i="1" s="1"/>
  <c r="AC64" i="1" s="1"/>
  <c r="AJ69" i="1"/>
  <c r="AG69" i="1"/>
  <c r="Y69" i="1"/>
  <c r="AD69" i="1"/>
  <c r="AE69" i="1" s="1"/>
  <c r="AJ73" i="1"/>
  <c r="AG73" i="1"/>
  <c r="Y73" i="1"/>
  <c r="AD73" i="1" s="1"/>
  <c r="AE73" i="1" s="1"/>
  <c r="AB37" i="1"/>
  <c r="AC37" i="1" s="1"/>
  <c r="Q49" i="1"/>
  <c r="AI49" i="1"/>
  <c r="AF49" i="1"/>
  <c r="X49" i="1"/>
  <c r="AB49" i="1" s="1"/>
  <c r="AC49" i="1" s="1"/>
  <c r="AG82" i="1"/>
  <c r="R82" i="1"/>
  <c r="AJ82" i="1"/>
  <c r="Y82" i="1"/>
  <c r="AD82" i="1" s="1"/>
  <c r="AE82" i="1" s="1"/>
  <c r="AJ44" i="1"/>
  <c r="AG44" i="1"/>
  <c r="R44" i="1"/>
  <c r="Y44" i="1"/>
  <c r="AD44" i="1" s="1"/>
  <c r="AE44" i="1" s="1"/>
  <c r="AG62" i="1"/>
  <c r="R62" i="1"/>
  <c r="AJ62" i="1"/>
  <c r="AD62" i="1"/>
  <c r="AE62" i="1" s="1"/>
  <c r="Y62" i="1"/>
  <c r="Q62" i="1"/>
  <c r="P45" i="1"/>
  <c r="Y45" i="1" s="1"/>
  <c r="R71" i="1"/>
  <c r="AG71" i="1"/>
  <c r="AJ71" i="1"/>
  <c r="Y71" i="1"/>
  <c r="AD71" i="1"/>
  <c r="AE71" i="1" s="1"/>
  <c r="AJ67" i="1"/>
  <c r="AG67" i="1"/>
  <c r="R67" i="1"/>
  <c r="Y67" i="1"/>
  <c r="AD67" i="1" s="1"/>
  <c r="AE67" i="1" s="1"/>
  <c r="AI44" i="1"/>
  <c r="AF44" i="1"/>
  <c r="Q44" i="1"/>
  <c r="X44" i="1"/>
  <c r="AB44" i="1" s="1"/>
  <c r="AC44" i="1" s="1"/>
  <c r="AJ89" i="1"/>
  <c r="AG89" i="1"/>
  <c r="Y89" i="1"/>
  <c r="AD89" i="1" s="1"/>
  <c r="AE89" i="1" s="1"/>
  <c r="AG50" i="1"/>
  <c r="AJ50" i="1"/>
  <c r="Y50" i="1"/>
  <c r="AD50" i="1"/>
  <c r="AE50" i="1" s="1"/>
  <c r="R79" i="1"/>
  <c r="AG79" i="1"/>
  <c r="AJ79" i="1"/>
  <c r="Y79" i="1"/>
  <c r="AD79" i="1"/>
  <c r="AE79" i="1" s="1"/>
  <c r="Q65" i="1"/>
  <c r="AI65" i="1"/>
  <c r="AF65" i="1"/>
  <c r="X65" i="1"/>
  <c r="Q84" i="1"/>
  <c r="AI84" i="1"/>
  <c r="AF84" i="1"/>
  <c r="X84" i="1"/>
  <c r="AB84" i="1" s="1"/>
  <c r="AC84" i="1" s="1"/>
  <c r="R84" i="1"/>
  <c r="Q60" i="1"/>
  <c r="AF60" i="1"/>
  <c r="AI60" i="1"/>
  <c r="X60" i="1"/>
  <c r="AB60" i="1" s="1"/>
  <c r="AC60" i="1" s="1"/>
  <c r="Q76" i="1"/>
  <c r="AI76" i="1"/>
  <c r="AF76" i="1"/>
  <c r="X76" i="1"/>
  <c r="AB76" i="1"/>
  <c r="AC76" i="1" s="1"/>
  <c r="R76" i="1"/>
  <c r="AI53" i="1"/>
  <c r="AF53" i="1"/>
  <c r="X53" i="1"/>
  <c r="AB53" i="1" s="1"/>
  <c r="AC53" i="1" s="1"/>
  <c r="AI67" i="1"/>
  <c r="AB67" i="1"/>
  <c r="AC67" i="1" s="1"/>
  <c r="AF67" i="1"/>
  <c r="Q67" i="1"/>
  <c r="X67" i="1"/>
  <c r="Q56" i="1"/>
  <c r="AI56" i="1"/>
  <c r="AF56" i="1"/>
  <c r="X56" i="1"/>
  <c r="AB56" i="1" s="1"/>
  <c r="AC56" i="1" s="1"/>
  <c r="AI82" i="1"/>
  <c r="AF82" i="1"/>
  <c r="Q82" i="1"/>
  <c r="X82" i="1"/>
  <c r="AB82" i="1"/>
  <c r="AC82" i="1" s="1"/>
  <c r="AB65" i="1"/>
  <c r="AC65" i="1" s="1"/>
  <c r="O42" i="1"/>
  <c r="AJ61" i="1"/>
  <c r="AG61" i="1"/>
  <c r="R61" i="1"/>
  <c r="Q61" i="1"/>
  <c r="AI35" i="1"/>
  <c r="AF35" i="1"/>
  <c r="X35" i="1"/>
  <c r="AB35" i="1" s="1"/>
  <c r="AC35" i="1" s="1"/>
  <c r="P75" i="1"/>
  <c r="Q75" i="1" s="1"/>
  <c r="AG83" i="1"/>
  <c r="AJ83" i="1"/>
  <c r="Y83" i="1"/>
  <c r="AD83" i="1" s="1"/>
  <c r="AE83" i="1" s="1"/>
  <c r="AG66" i="1"/>
  <c r="R66" i="1"/>
  <c r="AJ66" i="1"/>
  <c r="R49" i="1"/>
  <c r="AJ49" i="1"/>
  <c r="AG49" i="1"/>
  <c r="X46" i="1"/>
  <c r="AD55" i="1"/>
  <c r="AE55" i="1" s="1"/>
  <c r="AB55" i="1"/>
  <c r="AC55" i="1" s="1"/>
  <c r="O69" i="1"/>
  <c r="M39" i="1"/>
  <c r="O39" i="1" s="1"/>
  <c r="Q66" i="1"/>
  <c r="R87" i="1"/>
  <c r="AG87" i="1"/>
  <c r="AJ87" i="1"/>
  <c r="Y87" i="1"/>
  <c r="AD87" i="1" s="1"/>
  <c r="AE87" i="1" s="1"/>
  <c r="AJ77" i="1"/>
  <c r="AG77" i="1"/>
  <c r="P64" i="1"/>
  <c r="AD77" i="1"/>
  <c r="AE77" i="1" s="1"/>
  <c r="AF41" i="1"/>
  <c r="AI41" i="1"/>
  <c r="O54" i="1"/>
  <c r="X61" i="1"/>
  <c r="AB61" i="1" s="1"/>
  <c r="AC61" i="1" s="1"/>
  <c r="Y61" i="1"/>
  <c r="AD61" i="1" s="1"/>
  <c r="AE61" i="1" s="1"/>
  <c r="AJ43" i="1"/>
  <c r="AG43" i="1"/>
  <c r="R43" i="1"/>
  <c r="M73" i="1"/>
  <c r="O73" i="1" s="1"/>
  <c r="M54" i="1"/>
  <c r="AD37" i="1"/>
  <c r="AE37" i="1" s="1"/>
  <c r="AB59" i="1"/>
  <c r="AC59" i="1" s="1"/>
  <c r="AD43" i="1"/>
  <c r="AE43" i="1" s="1"/>
  <c r="O81" i="1"/>
  <c r="AF71" i="1"/>
  <c r="AI71" i="1"/>
  <c r="Q71" i="1"/>
  <c r="X71" i="1"/>
  <c r="AB71" i="1"/>
  <c r="AC71" i="1" s="1"/>
  <c r="O83" i="1"/>
  <c r="AB36" i="1"/>
  <c r="AC36" i="1" s="1"/>
  <c r="M69" i="1"/>
  <c r="M50" i="1"/>
  <c r="O50" i="1" s="1"/>
  <c r="N45" i="1"/>
  <c r="M89" i="1"/>
  <c r="O89" i="1" s="1"/>
  <c r="O46" i="1"/>
  <c r="AI63" i="1"/>
  <c r="AF63" i="1"/>
  <c r="Q63" i="1"/>
  <c r="AB63" i="1"/>
  <c r="AC63" i="1" s="1"/>
  <c r="X63" i="1"/>
  <c r="N81" i="1"/>
  <c r="P81" i="1" s="1"/>
  <c r="AF37" i="1"/>
  <c r="Q37" i="1"/>
  <c r="AI37" i="1"/>
  <c r="P35" i="1"/>
  <c r="Q35" i="1" s="1"/>
  <c r="AF79" i="1"/>
  <c r="AI79" i="1"/>
  <c r="Q79" i="1"/>
  <c r="AB79" i="1"/>
  <c r="AC79" i="1" s="1"/>
  <c r="X79" i="1"/>
  <c r="R52" i="1"/>
  <c r="AJ52" i="1"/>
  <c r="AG52" i="1"/>
  <c r="Y52" i="1"/>
  <c r="AD52" i="1"/>
  <c r="AE52" i="1" s="1"/>
  <c r="AD65" i="1"/>
  <c r="AE65" i="1" s="1"/>
  <c r="Q68" i="1"/>
  <c r="AI68" i="1"/>
  <c r="AF68" i="1"/>
  <c r="X68" i="1"/>
  <c r="AB68" i="1"/>
  <c r="AC68" i="1" s="1"/>
  <c r="Y43" i="1"/>
  <c r="AG70" i="1"/>
  <c r="R70" i="1"/>
  <c r="AJ70" i="1"/>
  <c r="Y70" i="1"/>
  <c r="AD70" i="1" s="1"/>
  <c r="AE70" i="1" s="1"/>
  <c r="AI43" i="1"/>
  <c r="AF43" i="1"/>
  <c r="Q43" i="1"/>
  <c r="R68" i="1"/>
  <c r="AJ68" i="1"/>
  <c r="AG68" i="1"/>
  <c r="Y68" i="1"/>
  <c r="AD68" i="1" s="1"/>
  <c r="AE68" i="1" s="1"/>
  <c r="N75" i="1"/>
  <c r="AD40" i="1"/>
  <c r="AE40" i="1" s="1"/>
  <c r="AJ65" i="1"/>
  <c r="AG65" i="1"/>
  <c r="R65" i="1"/>
  <c r="X37" i="1"/>
  <c r="AJ60" i="1"/>
  <c r="R60" i="1"/>
  <c r="AG60" i="1"/>
  <c r="Q52" i="1"/>
  <c r="AI52" i="1"/>
  <c r="X52" i="1"/>
  <c r="AF52" i="1"/>
  <c r="AB52" i="1"/>
  <c r="AC52" i="1" s="1"/>
  <c r="Q72" i="1"/>
  <c r="AI72" i="1"/>
  <c r="AF72" i="1"/>
  <c r="X72" i="1"/>
  <c r="AB72" i="1" s="1"/>
  <c r="AC72" i="1" s="1"/>
  <c r="R59" i="1"/>
  <c r="AG59" i="1"/>
  <c r="AJ59" i="1"/>
  <c r="AB41" i="1"/>
  <c r="AC41" i="1" s="1"/>
  <c r="M57" i="1"/>
  <c r="O57" i="1" s="1"/>
  <c r="P57" i="1"/>
  <c r="N41" i="1"/>
  <c r="P41" i="1" s="1"/>
  <c r="M42" i="1"/>
  <c r="O58" i="1"/>
  <c r="X45" i="1"/>
  <c r="AB45" i="1"/>
  <c r="AC45" i="1" s="1"/>
  <c r="O85" i="1"/>
  <c r="AI38" i="1"/>
  <c r="AF38" i="1"/>
  <c r="X38" i="1"/>
  <c r="AB38" i="1"/>
  <c r="AC38" i="1" s="1"/>
  <c r="AB66" i="1"/>
  <c r="AC66" i="1" s="1"/>
  <c r="Y66" i="1"/>
  <c r="AD66" i="1" s="1"/>
  <c r="AE66" i="1" s="1"/>
  <c r="X66" i="1"/>
  <c r="AJ37" i="1"/>
  <c r="R37" i="1"/>
  <c r="AG37" i="1"/>
  <c r="AF59" i="1"/>
  <c r="AI59" i="1"/>
  <c r="Q59" i="1"/>
  <c r="AG42" i="1"/>
  <c r="R42" i="1"/>
  <c r="AJ42" i="1"/>
  <c r="AB46" i="1"/>
  <c r="AC46" i="1" s="1"/>
  <c r="Y42" i="1"/>
  <c r="AD42" i="1" s="1"/>
  <c r="AE42" i="1" s="1"/>
  <c r="X42" i="1"/>
  <c r="AJ63" i="1"/>
  <c r="AG63" i="1"/>
  <c r="AD63" i="1"/>
  <c r="AE63" i="1" s="1"/>
  <c r="R63" i="1"/>
  <c r="Y63" i="1"/>
  <c r="Y54" i="1"/>
  <c r="AD54" i="1" s="1"/>
  <c r="AE54" i="1" s="1"/>
  <c r="X54" i="1"/>
  <c r="AB54" i="1" s="1"/>
  <c r="AC54" i="1" s="1"/>
  <c r="Q80" i="1"/>
  <c r="AI80" i="1"/>
  <c r="AF80" i="1"/>
  <c r="AB80" i="1"/>
  <c r="AC80" i="1" s="1"/>
  <c r="X80" i="1"/>
  <c r="R48" i="1"/>
  <c r="AJ48" i="1"/>
  <c r="AG48" i="1"/>
  <c r="Y48" i="1"/>
  <c r="AD48" i="1" s="1"/>
  <c r="AE48" i="1" s="1"/>
  <c r="P38" i="1"/>
  <c r="Q38" i="1" s="1"/>
  <c r="AF75" i="1"/>
  <c r="AI75" i="1"/>
  <c r="AB75" i="1"/>
  <c r="AC75" i="1" s="1"/>
  <c r="X75" i="1"/>
  <c r="O77" i="1"/>
  <c r="R77" i="1" s="1"/>
  <c r="R56" i="1"/>
  <c r="AJ56" i="1"/>
  <c r="Y56" i="1"/>
  <c r="AG56" i="1"/>
  <c r="AD56" i="1"/>
  <c r="AE56" i="1" s="1"/>
  <c r="X40" i="1"/>
  <c r="AB40" i="1" s="1"/>
  <c r="AC40" i="1" s="1"/>
  <c r="X55" i="1"/>
  <c r="Y49" i="1"/>
  <c r="AD49" i="1" s="1"/>
  <c r="AE49" i="1" s="1"/>
  <c r="X47" i="1"/>
  <c r="AB47" i="1" s="1"/>
  <c r="AC47" i="1" s="1"/>
  <c r="AD47" i="1"/>
  <c r="AE47" i="1" s="1"/>
  <c r="P39" i="1"/>
  <c r="P53" i="1"/>
  <c r="Q53" i="1" s="1"/>
  <c r="AF87" i="1"/>
  <c r="AI87" i="1"/>
  <c r="Q87" i="1"/>
  <c r="X87" i="1"/>
  <c r="AB87" i="1"/>
  <c r="AC87" i="1" s="1"/>
  <c r="X43" i="1"/>
  <c r="AB43" i="1" s="1"/>
  <c r="AC43" i="1" s="1"/>
  <c r="AD60" i="1"/>
  <c r="AE60" i="1" s="1"/>
  <c r="Q39" i="1" l="1"/>
  <c r="AI39" i="1"/>
  <c r="AF39" i="1"/>
  <c r="X39" i="1"/>
  <c r="AB39" i="1" s="1"/>
  <c r="AC39" i="1" s="1"/>
  <c r="AJ41" i="1"/>
  <c r="R41" i="1"/>
  <c r="AG41" i="1"/>
  <c r="Y41" i="1"/>
  <c r="Q41" i="1"/>
  <c r="AD41" i="1"/>
  <c r="AE41" i="1" s="1"/>
  <c r="Q73" i="1"/>
  <c r="AI73" i="1"/>
  <c r="AF73" i="1"/>
  <c r="X73" i="1"/>
  <c r="AB73" i="1" s="1"/>
  <c r="AC73" i="1" s="1"/>
  <c r="R73" i="1"/>
  <c r="Q57" i="1"/>
  <c r="AI57" i="1"/>
  <c r="AF57" i="1"/>
  <c r="X57" i="1"/>
  <c r="AB57" i="1"/>
  <c r="AC57" i="1" s="1"/>
  <c r="AI50" i="1"/>
  <c r="AF50" i="1"/>
  <c r="Q50" i="1"/>
  <c r="X50" i="1"/>
  <c r="AB50" i="1" s="1"/>
  <c r="AC50" i="1" s="1"/>
  <c r="R50" i="1"/>
  <c r="Q89" i="1"/>
  <c r="AI89" i="1"/>
  <c r="AF89" i="1"/>
  <c r="AB89" i="1"/>
  <c r="AC89" i="1" s="1"/>
  <c r="X89" i="1"/>
  <c r="R89" i="1"/>
  <c r="R81" i="1"/>
  <c r="AJ81" i="1"/>
  <c r="AG81" i="1"/>
  <c r="Y81" i="1"/>
  <c r="AD81" i="1"/>
  <c r="AE81" i="1" s="1"/>
  <c r="Q69" i="1"/>
  <c r="AI69" i="1"/>
  <c r="AF69" i="1"/>
  <c r="X69" i="1"/>
  <c r="AB69" i="1" s="1"/>
  <c r="AC69" i="1" s="1"/>
  <c r="R53" i="1"/>
  <c r="AJ53" i="1"/>
  <c r="AG53" i="1"/>
  <c r="Y53" i="1"/>
  <c r="AD53" i="1" s="1"/>
  <c r="AE53" i="1" s="1"/>
  <c r="R39" i="1"/>
  <c r="AJ39" i="1"/>
  <c r="AG39" i="1"/>
  <c r="AD39" i="1"/>
  <c r="AE39" i="1" s="1"/>
  <c r="Q85" i="1"/>
  <c r="AI85" i="1"/>
  <c r="AF85" i="1"/>
  <c r="X85" i="1"/>
  <c r="R85" i="1"/>
  <c r="AB85" i="1"/>
  <c r="AC85" i="1" s="1"/>
  <c r="Q81" i="1"/>
  <c r="AI81" i="1"/>
  <c r="AF81" i="1"/>
  <c r="X81" i="1"/>
  <c r="AB81" i="1"/>
  <c r="AC81" i="1" s="1"/>
  <c r="AJ64" i="1"/>
  <c r="R64" i="1"/>
  <c r="AG64" i="1"/>
  <c r="Y64" i="1"/>
  <c r="AD64" i="1" s="1"/>
  <c r="AE64" i="1" s="1"/>
  <c r="AI42" i="1"/>
  <c r="AF42" i="1"/>
  <c r="Q42" i="1"/>
  <c r="R38" i="1"/>
  <c r="AJ38" i="1"/>
  <c r="AG38" i="1"/>
  <c r="Y38" i="1"/>
  <c r="AD38" i="1" s="1"/>
  <c r="AE38" i="1" s="1"/>
  <c r="AB42" i="1"/>
  <c r="AC42" i="1" s="1"/>
  <c r="R75" i="1"/>
  <c r="AG75" i="1"/>
  <c r="AJ75" i="1"/>
  <c r="Y75" i="1"/>
  <c r="AD75" i="1" s="1"/>
  <c r="AE75" i="1" s="1"/>
  <c r="R69" i="1"/>
  <c r="AF83" i="1"/>
  <c r="AI83" i="1"/>
  <c r="Q83" i="1"/>
  <c r="X83" i="1"/>
  <c r="AB83" i="1" s="1"/>
  <c r="AC83" i="1" s="1"/>
  <c r="R35" i="1"/>
  <c r="AJ35" i="1"/>
  <c r="AG35" i="1"/>
  <c r="Y35" i="1"/>
  <c r="AD35" i="1" s="1"/>
  <c r="AE35" i="1" s="1"/>
  <c r="R57" i="1"/>
  <c r="AJ57" i="1"/>
  <c r="AG57" i="1"/>
  <c r="Y57" i="1"/>
  <c r="AD57" i="1" s="1"/>
  <c r="AE57" i="1" s="1"/>
  <c r="AI58" i="1"/>
  <c r="AF58" i="1"/>
  <c r="Q58" i="1"/>
  <c r="AB58" i="1"/>
  <c r="AC58" i="1" s="1"/>
  <c r="R58" i="1"/>
  <c r="Y39" i="1"/>
  <c r="AI54" i="1"/>
  <c r="AF54" i="1"/>
  <c r="Q54" i="1"/>
  <c r="R54" i="1"/>
  <c r="AJ45" i="1"/>
  <c r="R45" i="1"/>
  <c r="AG45" i="1"/>
  <c r="Q45" i="1"/>
  <c r="AD45" i="1"/>
  <c r="AE45" i="1" s="1"/>
  <c r="Q77" i="1"/>
  <c r="AI77" i="1"/>
  <c r="AF77" i="1"/>
  <c r="X77" i="1"/>
  <c r="AB77" i="1" s="1"/>
  <c r="AC77" i="1" s="1"/>
  <c r="AI46" i="1"/>
  <c r="AF46" i="1"/>
  <c r="Q46" i="1"/>
  <c r="R46" i="1"/>
  <c r="R83" i="1"/>
  <c r="X58" i="1"/>
  <c r="Q64" i="1"/>
</calcChain>
</file>

<file path=xl/comments1.xml><?xml version="1.0" encoding="utf-8"?>
<comments xmlns="http://schemas.openxmlformats.org/spreadsheetml/2006/main">
  <authors>
    <author>None</author>
  </authors>
  <commentList>
    <comment ref="H34" authorId="0" shapeId="0">
      <text>
        <r>
          <rPr>
            <sz val="10"/>
            <color rgb="FF000000"/>
            <rFont val="Arial"/>
            <scheme val="minor"/>
          </rPr>
          <t>Se introduce valoarea mai mare dintre GREUTATEA FIZICA A PRODUSULUI sau VOLUMETRIA PRODUSULUI (L*l*H/5000)
-rotunjiti mereu in sus!
======</t>
        </r>
      </text>
    </comment>
    <comment ref="AF34" authorId="0" shapeId="0">
      <text>
        <r>
          <rPr>
            <sz val="10"/>
            <color rgb="FF000000"/>
            <rFont val="Arial"/>
            <scheme val="minor"/>
          </rPr>
          <t>Pretul de vanzare la care iesi pe 0 profit/pierdere
Daca esti platitor TVA, acesta este pretul de vanzare cu tot cu TVA!
======</t>
        </r>
      </text>
    </comment>
    <comment ref="AG34" authorId="0" shapeId="0">
      <text>
        <r>
          <rPr>
            <sz val="10"/>
            <color rgb="FF000000"/>
            <rFont val="Arial"/>
            <scheme val="minor"/>
          </rPr>
          <t>Pretul de vanzare la care iesi pe 0 profit/pierdere
Daca esti platitor TVA, acesta este pretul de vanzare cu tot cu TVA!
======</t>
        </r>
      </text>
    </comment>
  </commentList>
</comments>
</file>

<file path=xl/sharedStrings.xml><?xml version="1.0" encoding="utf-8"?>
<sst xmlns="http://schemas.openxmlformats.org/spreadsheetml/2006/main" count="326" uniqueCount="171">
  <si>
    <t>ALEGE UNA DIN VARIANTE</t>
  </si>
  <si>
    <t>Impozit pe profit neplatitor de TVA</t>
  </si>
  <si>
    <t>ASPECTE IMPORTANTE</t>
  </si>
  <si>
    <t>Pe aceasta culoare trebuie introduse date</t>
  </si>
  <si>
    <t>Pe aceasta culoare se calculceaza automat</t>
  </si>
  <si>
    <t>- Cost transport Fabrica-Agent il aflati cu exactitate dupa ce agentul revine cu un raspuns, daca nu ai contactat agentul poti trece 2%</t>
  </si>
  <si>
    <t>- Taxele vamale difera in functie de produse, 5% pentru a fi acoperit complet</t>
  </si>
  <si>
    <t>Curs RMB to LEI</t>
  </si>
  <si>
    <t>- Pentru un calcul corect cursul valutar atat pentru RMB, cat si pentru $, trebuie sa fie cel folosit de agent</t>
  </si>
  <si>
    <t>Curs $ to LEI</t>
  </si>
  <si>
    <t>- Cand introduceti date folositi doar "," nu "." (Folositi doar "virgula" nu "punct")</t>
  </si>
  <si>
    <t>- Calcul greutate volumetrica L * l * H /5000 (in centimeri!)</t>
  </si>
  <si>
    <t>Cost Trans Aer $/kg</t>
  </si>
  <si>
    <t>- La greutate se introduce valoarea mai mare dintre GREUTATEA FIZICA A PRODUSULUI sau VOLUMETRIA PRODUSULUI (L*l*H/5000) - rotunjiti mereu in sus!</t>
  </si>
  <si>
    <t>Cost Trans Aer RON/kg</t>
  </si>
  <si>
    <t>- Nu completati comisionul emag mai mare de 30% deoarece tabelul va da eroare! (comisionul maxim pe emag este 27% )</t>
  </si>
  <si>
    <t>Cost Trans Tren/mare $/kg</t>
  </si>
  <si>
    <t>Cost Trans Tren/mare RON/kg</t>
  </si>
  <si>
    <t>Calcul greutate volumetrica L * l * H /5000 (in centimeri!)</t>
  </si>
  <si>
    <t>Cost transport Fabrica-Agent (0,5-2% din pretul produsului)</t>
  </si>
  <si>
    <t xml:space="preserve">Comision agent </t>
  </si>
  <si>
    <t>TVA</t>
  </si>
  <si>
    <t>Taxe Vamale</t>
  </si>
  <si>
    <t>Impozit pe profit</t>
  </si>
  <si>
    <t>Consumabile-impachetare / produs, cu TVA</t>
  </si>
  <si>
    <t>Cost curierat conform contract, cu TVA</t>
  </si>
  <si>
    <t>desi e 12,5 am adaugat 19,2 datorita cresterii costului Genius</t>
  </si>
  <si>
    <t>Cost curierat facturat catre client, cu TVA</t>
  </si>
  <si>
    <t>Pentru a calcula cu livrare in Easybox in C26 si C29 se introduce 0 lei</t>
  </si>
  <si>
    <t>Introdu
Date</t>
  </si>
  <si>
    <t>Nu modifica!</t>
  </si>
  <si>
    <t>DE ASCUNS</t>
  </si>
  <si>
    <t>Nr.
crt.</t>
  </si>
  <si>
    <t>Denumire produs</t>
  </si>
  <si>
    <t>Model</t>
  </si>
  <si>
    <t>Alege pret 
fabrica RMB / $</t>
  </si>
  <si>
    <t>Pret $/RMB</t>
  </si>
  <si>
    <t>Pret achiz. China</t>
  </si>
  <si>
    <t>Greutate</t>
  </si>
  <si>
    <t>Cost Transport
Aer</t>
  </si>
  <si>
    <t>Cost Transport
Tren/Mare</t>
  </si>
  <si>
    <t>Taxe Vamale
Aer</t>
  </si>
  <si>
    <t>Taxe Vamale
Tren/Mare</t>
  </si>
  <si>
    <t>TVA Import
Aer</t>
  </si>
  <si>
    <t>TVA Import
Tren/Mare</t>
  </si>
  <si>
    <t>Cost final achiz.
Aer</t>
  </si>
  <si>
    <t>Cost final achiz.
Tren/Mare</t>
  </si>
  <si>
    <t>Diferenta
Aer - Tren/Mare</t>
  </si>
  <si>
    <t>Cat salvezi
din transport</t>
  </si>
  <si>
    <t>Com eMAG</t>
  </si>
  <si>
    <t>Valoarea Comision 
eMAG fara TVA</t>
  </si>
  <si>
    <t>TVA Comision
eMAG</t>
  </si>
  <si>
    <t>Impozit Aer</t>
  </si>
  <si>
    <t>Impozit Tren/Mare</t>
  </si>
  <si>
    <t>TVA Colectat
de platit la stat Aer</t>
  </si>
  <si>
    <t>TVA Colectat
de platit la stat Tren/Mare</t>
  </si>
  <si>
    <t>Profit final
Aer</t>
  </si>
  <si>
    <t>% Profit 
Aer</t>
  </si>
  <si>
    <t>Profit final
Tren/Mare</t>
  </si>
  <si>
    <t>% Profit 
Tren/Mare</t>
  </si>
  <si>
    <t>Break even 
point AER</t>
  </si>
  <si>
    <t>Break even 
point TREN/MARE</t>
  </si>
  <si>
    <t xml:space="preserve">nr bucati </t>
  </si>
  <si>
    <t>Cost comanda Aer</t>
  </si>
  <si>
    <t>Cost comanda Tren/Mare</t>
  </si>
  <si>
    <t>Link eMag</t>
  </si>
  <si>
    <t>Link 1688</t>
  </si>
  <si>
    <t>Link ALI</t>
  </si>
  <si>
    <t>Link AMZ</t>
  </si>
  <si>
    <t>CE</t>
  </si>
  <si>
    <t>DECIZIE</t>
  </si>
  <si>
    <t>CD-CS002-W-MARO</t>
  </si>
  <si>
    <t>A</t>
  </si>
  <si>
    <t>$$$</t>
  </si>
  <si>
    <t>CD-CS002-W-NEGRU</t>
  </si>
  <si>
    <t>CD-CS002-W-ROSU</t>
  </si>
  <si>
    <t>ARO-SOL-ARGINTIU</t>
  </si>
  <si>
    <t>ARO-SOL-AURIU</t>
  </si>
  <si>
    <t>ARO-SOL-NEGRU</t>
  </si>
  <si>
    <t>ARO-SOL-ROSU</t>
  </si>
  <si>
    <t>LED-AMB</t>
  </si>
  <si>
    <t>HUSA-VOL-BEJ</t>
  </si>
  <si>
    <t>HUSA-VOL-NEGRU</t>
  </si>
  <si>
    <t>MOD-SIRI</t>
  </si>
  <si>
    <t>INC-WL3</t>
  </si>
  <si>
    <t>ORG-BANC-BEJ</t>
  </si>
  <si>
    <t>ORG-BANC-NEGRU</t>
  </si>
  <si>
    <t>SUP-MAG</t>
  </si>
  <si>
    <t>MOD-SFC</t>
  </si>
  <si>
    <t>MOD-BT50</t>
  </si>
  <si>
    <t>SUP-OGL</t>
  </si>
  <si>
    <t>ORG-SCA</t>
  </si>
  <si>
    <t>PROT-CENT</t>
  </si>
  <si>
    <t>UV-PARB</t>
  </si>
  <si>
    <t>MOD-BTFM</t>
  </si>
  <si>
    <t>LUM-WARN</t>
  </si>
  <si>
    <t>SPAL-23</t>
  </si>
  <si>
    <t>TAV-MNC</t>
  </si>
  <si>
    <t>TAV-ANT</t>
  </si>
  <si>
    <t>CBL-RET</t>
  </si>
  <si>
    <t>COS-GUN</t>
  </si>
  <si>
    <t>SET-PENS</t>
  </si>
  <si>
    <t>KIT-CUR</t>
  </si>
  <si>
    <t>ORG-PARA-BEJ</t>
  </si>
  <si>
    <t>ORG-PARA-GRI</t>
  </si>
  <si>
    <t>ORG-PARA-NEGRU</t>
  </si>
  <si>
    <t>ORG-PORT</t>
  </si>
  <si>
    <t>HUS-VOL2</t>
  </si>
  <si>
    <t>SUP-OCL</t>
  </si>
  <si>
    <t>OGL-BEB</t>
  </si>
  <si>
    <t>PROL-CENT</t>
  </si>
  <si>
    <t>PARF-AUTO</t>
  </si>
  <si>
    <t>SUP-TET</t>
  </si>
  <si>
    <t>DEP-PLAF</t>
  </si>
  <si>
    <t>REP-ANV</t>
  </si>
  <si>
    <t>SUP-MAG2</t>
  </si>
  <si>
    <t>ASP-AUTO</t>
  </si>
  <si>
    <t>LUM-PLAF</t>
  </si>
  <si>
    <t>HUS-CHE</t>
  </si>
  <si>
    <t>LED-PARB</t>
  </si>
  <si>
    <t>DEC-EXT</t>
  </si>
  <si>
    <t>CAR-TET</t>
  </si>
  <si>
    <t>STK-FRM</t>
  </si>
  <si>
    <t>GEA-VENT</t>
  </si>
  <si>
    <t>MAS-VOL</t>
  </si>
  <si>
    <t>PARF-SOL-AURIU</t>
  </si>
  <si>
    <t>PARF-SOL-NEGRU</t>
  </si>
  <si>
    <t>PARF-SOL-ROSU</t>
  </si>
  <si>
    <t>CD-CS002-W-BEJ</t>
  </si>
  <si>
    <t xml:space="preserve">PLAN DE ACTIUNE </t>
  </si>
  <si>
    <t>luni</t>
  </si>
  <si>
    <t>Performanta Produs</t>
  </si>
  <si>
    <t>Nr. Produs</t>
  </si>
  <si>
    <t>Vanzari /Sapt</t>
  </si>
  <si>
    <t>Vanzari /Luna</t>
  </si>
  <si>
    <t>Profit</t>
  </si>
  <si>
    <t>Randament</t>
  </si>
  <si>
    <t>Produs Super HOT</t>
  </si>
  <si>
    <t>1 VANZARE /Zi</t>
  </si>
  <si>
    <t>Produs HOT</t>
  </si>
  <si>
    <t>1 vanzar / 2 zile</t>
  </si>
  <si>
    <t>Produs Regular</t>
  </si>
  <si>
    <t>1 vanzare / saptamana</t>
  </si>
  <si>
    <t>PROFIT 50lei / Produs</t>
  </si>
  <si>
    <t>Comanda Initiala</t>
  </si>
  <si>
    <t>PROFIT TOTAL</t>
  </si>
  <si>
    <t>RON</t>
  </si>
  <si>
    <t>RATA</t>
  </si>
  <si>
    <t xml:space="preserve">Tipuri de PRODUSE(Total)        </t>
  </si>
  <si>
    <t>RULAJ Viitor</t>
  </si>
  <si>
    <t>Investitie Stoc</t>
  </si>
  <si>
    <t>(capitaluri proprii )</t>
  </si>
  <si>
    <t xml:space="preserve">Situatia Actuala </t>
  </si>
  <si>
    <t>VENITURI ACTUALE RON</t>
  </si>
  <si>
    <t>ORE LUCRATE/LUNA</t>
  </si>
  <si>
    <t>VALOARE PE ORA RON</t>
  </si>
  <si>
    <t>Alternativa</t>
  </si>
  <si>
    <t>Varianta Job 2 / (Ceva pe langa)</t>
  </si>
  <si>
    <t>VENITURI DORITE RON</t>
  </si>
  <si>
    <t>25.00</t>
  </si>
  <si>
    <t>Solutia noastra</t>
  </si>
  <si>
    <t>SELLER CLUB</t>
  </si>
  <si>
    <t>NUMAR DE COMENZI NECESAR Luna</t>
  </si>
  <si>
    <t>NUMAR DE COMENZI NECESAR ZI</t>
  </si>
  <si>
    <t>VALOARE PE ORA RON/SELLER CLUB</t>
  </si>
  <si>
    <t>COSTUL INACTIUNII</t>
  </si>
  <si>
    <t>VALOAREA PIERDUTA/ORA</t>
  </si>
  <si>
    <t>VALOAREA PIERDUTA/LUNA</t>
  </si>
  <si>
    <t>5000.0</t>
  </si>
  <si>
    <t>VALOAREA PIERDUTA/LUNA 8 ore</t>
  </si>
  <si>
    <t>14666.7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</si>
</sst>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"/>
    <numFmt numFmtId="165" formatCode="d\.m"/>
    <numFmt numFmtId="166" formatCode="0.0%"/>
    <numFmt numFmtId="167" formatCode="[$¥-804]#,##0.00"/>
    <numFmt numFmtId="168" formatCode="#,##0.00\ [$lei-418];\-#,##0.00\ [$lei-418]"/>
    <numFmt numFmtId="169" formatCode="#,##0.0\ [$kg-418];\-#,##0.0\ [$lei-418]"/>
    <numFmt numFmtId="170" formatCode="#,##0.0\ [$lei-418];\-#,##0.0\ [$lei-418]"/>
    <numFmt numFmtId="171" formatCode="#,##0\ [$buc-418];\-#,##0\ [$lei-418]"/>
    <numFmt numFmtId="172" formatCode="[$$ ]#,##0.00"/>
  </numFmts>
  <fonts count="47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4"/>
      <color rgb="FF000000"/>
      <name val="Calibri"/>
    </font>
    <font>
      <sz val="16"/>
      <color rgb="FF000000"/>
      <name val="Calibri"/>
    </font>
    <font>
      <sz val="14"/>
      <color rgb="FF000000"/>
      <name val="Times New Roman"/>
    </font>
    <font>
      <sz val="36"/>
      <color rgb="FF00B050"/>
      <name val="Calibri"/>
    </font>
    <font>
      <b/>
      <sz val="14"/>
      <color rgb="FF000000"/>
      <name val="Times New Roman"/>
    </font>
    <font>
      <sz val="16"/>
      <color rgb="FF00B050"/>
      <name val="Times New Roman"/>
    </font>
    <font>
      <sz val="16"/>
      <color rgb="FF000000"/>
      <name val="Times New Roman"/>
    </font>
    <font>
      <sz val="18"/>
      <color rgb="FF000000"/>
      <name val="Calibri"/>
    </font>
    <font>
      <sz val="20"/>
      <color theme="1"/>
      <name val="Calibri"/>
    </font>
    <font>
      <sz val="20"/>
      <color rgb="FF000000"/>
      <name val="Calibri"/>
    </font>
    <font>
      <sz val="20"/>
      <color rgb="FFFF0000"/>
      <name val="Calibri"/>
    </font>
    <font>
      <sz val="18"/>
      <color rgb="FFFF0000"/>
      <name val="Calibri"/>
    </font>
    <font>
      <b/>
      <sz val="14"/>
      <color rgb="FF000000"/>
      <name val="Arial"/>
    </font>
    <font>
      <sz val="16"/>
      <color rgb="FF3F3F76"/>
      <name val="Times New Roman"/>
    </font>
    <font>
      <sz val="18"/>
      <color rgb="FFFCE5CD"/>
      <name val="Calibri"/>
    </font>
    <font>
      <sz val="10"/>
      <color theme="1"/>
      <name val="Arial"/>
    </font>
    <font>
      <sz val="18"/>
      <color rgb="FFD9EAD3"/>
      <name val="Calibri"/>
    </font>
    <font>
      <sz val="16"/>
      <color rgb="FF1155CC"/>
      <name val="Times New Roman"/>
    </font>
    <font>
      <sz val="10"/>
      <color rgb="FF000000"/>
      <name val="Arial"/>
    </font>
    <font>
      <sz val="22"/>
      <color rgb="FF000000"/>
      <name val="Calibri"/>
    </font>
    <font>
      <sz val="22"/>
      <color rgb="FF00B050"/>
      <name val="Calibri"/>
    </font>
    <font>
      <b/>
      <sz val="11"/>
      <color rgb="FF000000"/>
      <name val="Arial"/>
    </font>
    <font>
      <b/>
      <sz val="18"/>
      <color rgb="FF000000"/>
      <name val="Calibri"/>
    </font>
    <font>
      <sz val="18"/>
      <color rgb="FF70AD47"/>
      <name val="Calibri"/>
    </font>
    <font>
      <sz val="16"/>
      <color rgb="FF3F3F76"/>
      <name val="Calibri"/>
    </font>
    <font>
      <b/>
      <u/>
      <sz val="11"/>
      <color theme="1"/>
      <name val="Arial"/>
    </font>
    <font>
      <sz val="24"/>
      <color rgb="FFC00000"/>
      <name val="Calibri"/>
    </font>
    <font>
      <sz val="24"/>
      <color rgb="FFFF0000"/>
      <name val="Calibri"/>
    </font>
    <font>
      <sz val="18"/>
      <color rgb="FFCC0000"/>
      <name val="Calibri"/>
    </font>
    <font>
      <b/>
      <sz val="10"/>
      <color rgb="FF000000"/>
      <name val="Arial"/>
    </font>
    <font>
      <sz val="12"/>
      <color rgb="FFDD7E6B"/>
      <name val="Arial"/>
    </font>
    <font>
      <b/>
      <sz val="10"/>
      <color theme="1"/>
      <name val="Arial"/>
    </font>
    <font>
      <sz val="18"/>
      <color rgb="FF006100"/>
      <name val="Calibri"/>
    </font>
    <font>
      <sz val="11"/>
      <color rgb="FF000000"/>
      <name val="Times New Roman"/>
    </font>
    <font>
      <b/>
      <sz val="14"/>
      <color rgb="FFFF0000"/>
      <name val="Arial"/>
    </font>
    <font>
      <b/>
      <sz val="10"/>
      <color rgb="FFFF0000"/>
      <name val="Arial"/>
    </font>
    <font>
      <b/>
      <sz val="9"/>
      <color rgb="FFFF0000"/>
      <name val="Arial"/>
    </font>
    <font>
      <b/>
      <sz val="10"/>
      <color rgb="FF6AA84F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b/>
      <sz val="10"/>
      <color rgb="FFFF00FF"/>
      <name val="Arial"/>
    </font>
    <font>
      <b/>
      <sz val="9"/>
      <color theme="1"/>
      <name val="Arial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CC99"/>
        <bgColor rgb="FFFFCC99"/>
      </patternFill>
    </fill>
    <fill>
      <patternFill patternType="solid">
        <fgColor rgb="FFEFEFEF"/>
        <bgColor rgb="FFEFEFEF"/>
      </patternFill>
    </fill>
    <fill>
      <patternFill patternType="solid">
        <fgColor rgb="FFED7D31"/>
        <bgColor rgb="FFED7D31"/>
      </patternFill>
    </fill>
    <fill>
      <patternFill patternType="solid">
        <fgColor rgb="FFA4C2F4"/>
        <bgColor rgb="FFA4C2F4"/>
      </patternFill>
    </fill>
    <fill>
      <patternFill patternType="solid">
        <fgColor rgb="FFC6EFCE"/>
        <bgColor rgb="FFC6EFCE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6" fillId="2" borderId="1" xfId="0" applyFont="1" applyFill="1" applyBorder="1"/>
    <xf numFmtId="0" fontId="7" fillId="0" borderId="2" xfId="0" applyFont="1" applyBorder="1" applyAlignment="1">
      <alignment horizontal="center"/>
    </xf>
    <xf numFmtId="0" fontId="6" fillId="2" borderId="3" xfId="0" applyFont="1" applyFill="1" applyBorder="1"/>
    <xf numFmtId="0" fontId="8" fillId="0" borderId="4" xfId="0" applyFont="1" applyBorder="1" applyAlignment="1">
      <alignment horizontal="center"/>
    </xf>
    <xf numFmtId="0" fontId="10" fillId="0" borderId="0" xfId="0" applyFont="1"/>
    <xf numFmtId="0" fontId="12" fillId="0" borderId="0" xfId="0" applyFont="1"/>
    <xf numFmtId="0" fontId="13" fillId="0" borderId="0" xfId="0" applyFont="1"/>
    <xf numFmtId="0" fontId="9" fillId="0" borderId="0" xfId="0" applyFont="1" applyAlignment="1">
      <alignment horizontal="right"/>
    </xf>
    <xf numFmtId="164" fontId="15" fillId="4" borderId="5" xfId="0" applyNumberFormat="1" applyFont="1" applyFill="1" applyBorder="1" applyAlignment="1">
      <alignment horizontal="center"/>
    </xf>
    <xf numFmtId="0" fontId="16" fillId="0" borderId="0" xfId="0" applyFont="1"/>
    <xf numFmtId="0" fontId="8" fillId="0" borderId="0" xfId="0" applyFont="1" applyAlignment="1">
      <alignment horizontal="center"/>
    </xf>
    <xf numFmtId="0" fontId="17" fillId="5" borderId="0" xfId="0" applyFont="1" applyFill="1"/>
    <xf numFmtId="0" fontId="6" fillId="0" borderId="0" xfId="0" applyFont="1"/>
    <xf numFmtId="0" fontId="18" fillId="0" borderId="0" xfId="0" applyFont="1"/>
    <xf numFmtId="0" fontId="19" fillId="0" borderId="2" xfId="0" applyFont="1" applyBorder="1" applyAlignment="1">
      <alignment horizontal="center"/>
    </xf>
    <xf numFmtId="0" fontId="6" fillId="2" borderId="0" xfId="0" applyFont="1" applyFill="1"/>
    <xf numFmtId="0" fontId="21" fillId="0" borderId="0" xfId="0" applyFont="1"/>
    <xf numFmtId="0" fontId="6" fillId="2" borderId="0" xfId="0" applyFont="1" applyFill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right"/>
    </xf>
    <xf numFmtId="0" fontId="24" fillId="0" borderId="0" xfId="0" applyFont="1"/>
    <xf numFmtId="165" fontId="8" fillId="0" borderId="4" xfId="0" applyNumberFormat="1" applyFont="1" applyBorder="1" applyAlignment="1">
      <alignment horizontal="center"/>
    </xf>
    <xf numFmtId="0" fontId="25" fillId="0" borderId="0" xfId="0" applyFont="1"/>
    <xf numFmtId="0" fontId="26" fillId="4" borderId="5" xfId="0" applyFont="1" applyFill="1" applyBorder="1" applyAlignment="1">
      <alignment horizontal="center"/>
    </xf>
    <xf numFmtId="0" fontId="27" fillId="5" borderId="0" xfId="0" applyFont="1" applyFill="1"/>
    <xf numFmtId="0" fontId="28" fillId="0" borderId="0" xfId="0" applyFont="1"/>
    <xf numFmtId="0" fontId="29" fillId="0" borderId="0" xfId="0" applyFont="1" applyAlignment="1">
      <alignment horizontal="right"/>
    </xf>
    <xf numFmtId="164" fontId="30" fillId="6" borderId="2" xfId="0" applyNumberFormat="1" applyFont="1" applyFill="1" applyBorder="1" applyAlignment="1">
      <alignment horizontal="center"/>
    </xf>
    <xf numFmtId="0" fontId="32" fillId="0" borderId="0" xfId="0" applyFont="1"/>
    <xf numFmtId="0" fontId="33" fillId="5" borderId="0" xfId="0" applyFont="1" applyFill="1" applyAlignment="1">
      <alignment horizontal="left" vertical="center"/>
    </xf>
    <xf numFmtId="0" fontId="34" fillId="8" borderId="0" xfId="0" applyFont="1" applyFill="1" applyAlignment="1">
      <alignment horizontal="center"/>
    </xf>
    <xf numFmtId="0" fontId="35" fillId="0" borderId="0" xfId="0" applyFont="1"/>
    <xf numFmtId="164" fontId="31" fillId="7" borderId="1" xfId="0" applyNumberFormat="1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0" fontId="33" fillId="5" borderId="0" xfId="0" applyFont="1" applyFill="1"/>
    <xf numFmtId="0" fontId="36" fillId="5" borderId="0" xfId="0" applyFont="1" applyFill="1" applyAlignment="1">
      <alignment horizontal="center" vertical="center"/>
    </xf>
    <xf numFmtId="164" fontId="33" fillId="9" borderId="1" xfId="0" applyNumberFormat="1" applyFont="1" applyFill="1" applyBorder="1" applyAlignment="1">
      <alignment horizontal="center" vertical="center"/>
    </xf>
    <xf numFmtId="166" fontId="31" fillId="7" borderId="1" xfId="0" applyNumberFormat="1" applyFont="1" applyFill="1" applyBorder="1" applyAlignment="1">
      <alignment horizontal="center" vertical="center"/>
    </xf>
    <xf numFmtId="9" fontId="31" fillId="7" borderId="1" xfId="0" applyNumberFormat="1" applyFont="1" applyFill="1" applyBorder="1" applyAlignment="1">
      <alignment horizontal="center" vertical="center"/>
    </xf>
    <xf numFmtId="9" fontId="31" fillId="9" borderId="1" xfId="0" applyNumberFormat="1" applyFont="1" applyFill="1" applyBorder="1" applyAlignment="1">
      <alignment horizontal="center" vertical="center"/>
    </xf>
    <xf numFmtId="0" fontId="37" fillId="5" borderId="0" xfId="0" applyFont="1" applyFill="1"/>
    <xf numFmtId="0" fontId="31" fillId="7" borderId="2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 wrapText="1"/>
    </xf>
    <xf numFmtId="0" fontId="31" fillId="9" borderId="2" xfId="0" applyFont="1" applyFill="1" applyBorder="1" applyAlignment="1">
      <alignment horizontal="center" vertical="center"/>
    </xf>
    <xf numFmtId="0" fontId="31" fillId="9" borderId="2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10" fontId="31" fillId="0" borderId="1" xfId="0" applyNumberFormat="1" applyFont="1" applyBorder="1" applyAlignment="1">
      <alignment horizontal="center" vertical="center"/>
    </xf>
    <xf numFmtId="10" fontId="40" fillId="0" borderId="1" xfId="0" applyNumberFormat="1" applyFont="1" applyBorder="1" applyAlignment="1">
      <alignment horizontal="center"/>
    </xf>
    <xf numFmtId="166" fontId="40" fillId="0" borderId="1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4" fontId="40" fillId="0" borderId="1" xfId="0" applyNumberFormat="1" applyFont="1" applyBorder="1" applyAlignment="1">
      <alignment horizontal="center"/>
    </xf>
    <xf numFmtId="4" fontId="44" fillId="0" borderId="1" xfId="0" applyNumberFormat="1" applyFont="1" applyBorder="1" applyAlignment="1">
      <alignment horizontal="center"/>
    </xf>
    <xf numFmtId="10" fontId="44" fillId="0" borderId="1" xfId="0" applyNumberFormat="1" applyFont="1" applyBorder="1" applyAlignment="1">
      <alignment horizontal="center"/>
    </xf>
    <xf numFmtId="4" fontId="41" fillId="0" borderId="1" xfId="0" applyNumberFormat="1" applyFont="1" applyBorder="1"/>
    <xf numFmtId="4" fontId="41" fillId="13" borderId="1" xfId="0" applyNumberFormat="1" applyFont="1" applyFill="1" applyBorder="1"/>
    <xf numFmtId="10" fontId="40" fillId="13" borderId="1" xfId="0" applyNumberFormat="1" applyFont="1" applyFill="1" applyBorder="1" applyAlignment="1">
      <alignment horizontal="center"/>
    </xf>
    <xf numFmtId="9" fontId="40" fillId="0" borderId="1" xfId="0" applyNumberFormat="1" applyFont="1" applyBorder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 vertical="center"/>
    </xf>
    <xf numFmtId="167" fontId="40" fillId="0" borderId="1" xfId="0" applyNumberFormat="1" applyFont="1" applyBorder="1" applyAlignment="1">
      <alignment horizontal="center"/>
    </xf>
    <xf numFmtId="168" fontId="23" fillId="0" borderId="1" xfId="0" applyNumberFormat="1" applyFont="1" applyBorder="1" applyAlignment="1">
      <alignment horizontal="center" vertical="center"/>
    </xf>
    <xf numFmtId="169" fontId="40" fillId="0" borderId="1" xfId="0" applyNumberFormat="1" applyFont="1" applyBorder="1" applyAlignment="1">
      <alignment horizontal="center"/>
    </xf>
    <xf numFmtId="170" fontId="31" fillId="0" borderId="1" xfId="0" applyNumberFormat="1" applyFont="1" applyBorder="1" applyAlignment="1">
      <alignment horizontal="center" vertical="center"/>
    </xf>
    <xf numFmtId="168" fontId="31" fillId="0" borderId="1" xfId="0" applyNumberFormat="1" applyFont="1" applyBorder="1" applyAlignment="1">
      <alignment horizontal="center" vertical="center"/>
    </xf>
    <xf numFmtId="168" fontId="42" fillId="12" borderId="1" xfId="0" applyNumberFormat="1" applyFont="1" applyFill="1" applyBorder="1" applyAlignment="1">
      <alignment horizontal="center"/>
    </xf>
    <xf numFmtId="170" fontId="40" fillId="0" borderId="1" xfId="0" applyNumberFormat="1" applyFont="1" applyBorder="1" applyAlignment="1">
      <alignment horizontal="center" vertical="center"/>
    </xf>
    <xf numFmtId="170" fontId="43" fillId="0" borderId="1" xfId="0" applyNumberFormat="1" applyFont="1" applyBorder="1" applyAlignment="1">
      <alignment horizontal="center" vertical="center"/>
    </xf>
    <xf numFmtId="171" fontId="31" fillId="0" borderId="1" xfId="0" applyNumberFormat="1" applyFont="1" applyBorder="1" applyAlignment="1">
      <alignment horizontal="center" vertical="center"/>
    </xf>
    <xf numFmtId="172" fontId="31" fillId="0" borderId="1" xfId="0" applyNumberFormat="1" applyFont="1" applyBorder="1" applyAlignment="1">
      <alignment horizontal="center" vertical="center"/>
    </xf>
    <xf numFmtId="168" fontId="42" fillId="14" borderId="1" xfId="0" applyNumberFormat="1" applyFont="1" applyFill="1" applyBorder="1" applyAlignment="1">
      <alignment horizontal="center"/>
    </xf>
    <xf numFmtId="168" fontId="42" fillId="0" borderId="1" xfId="0" applyNumberFormat="1" applyFont="1" applyBorder="1" applyAlignment="1">
      <alignment horizontal="center"/>
    </xf>
    <xf numFmtId="167" fontId="44" fillId="0" borderId="1" xfId="0" applyNumberFormat="1" applyFont="1" applyBorder="1" applyAlignment="1">
      <alignment horizontal="center"/>
    </xf>
    <xf numFmtId="169" fontId="44" fillId="0" borderId="1" xfId="0" applyNumberFormat="1" applyFont="1" applyBorder="1" applyAlignment="1">
      <alignment horizontal="center"/>
    </xf>
    <xf numFmtId="168" fontId="44" fillId="12" borderId="1" xfId="0" applyNumberFormat="1" applyFont="1" applyFill="1" applyBorder="1" applyAlignment="1">
      <alignment horizontal="center"/>
    </xf>
    <xf numFmtId="167" fontId="40" fillId="13" borderId="1" xfId="0" applyNumberFormat="1" applyFont="1" applyFill="1" applyBorder="1" applyAlignment="1">
      <alignment horizontal="center"/>
    </xf>
    <xf numFmtId="169" fontId="40" fillId="13" borderId="1" xfId="0" applyNumberFormat="1" applyFont="1" applyFill="1" applyBorder="1" applyAlignment="1">
      <alignment horizontal="center"/>
    </xf>
    <xf numFmtId="168" fontId="42" fillId="13" borderId="1" xfId="0" applyNumberFormat="1" applyFont="1" applyFill="1" applyBorder="1" applyAlignment="1">
      <alignment horizontal="center"/>
    </xf>
    <xf numFmtId="169" fontId="45" fillId="0" borderId="1" xfId="0" applyNumberFormat="1" applyFont="1" applyBorder="1" applyAlignment="1">
      <alignment horizontal="center"/>
    </xf>
    <xf numFmtId="0" fontId="0" fillId="0" borderId="0" xfId="0"/>
    <xf numFmtId="0" fontId="37" fillId="5" borderId="0" xfId="0" applyFont="1" applyFill="1" applyAlignment="1">
      <alignment horizontal="center" vertical="center"/>
    </xf>
    <xf numFmtId="0" fontId="20" fillId="5" borderId="0" xfId="0" applyFont="1" applyFill="1"/>
    <xf numFmtId="2" fontId="33" fillId="7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11" fillId="0" borderId="0" xfId="0" applyFont="1"/>
    <xf numFmtId="0" fontId="9" fillId="0" borderId="0" xfId="0" applyFont="1"/>
    <xf numFmtId="0" fontId="31" fillId="0" borderId="1" xfId="0" applyFont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2" xfId="0" applyBorder="1"/>
    <xf numFmtId="0" fontId="31" fillId="10" borderId="1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4" xfId="0" applyBorder="1"/>
    <xf numFmtId="170" fontId="31" fillId="7" borderId="1" xfId="0" applyNumberFormat="1" applyFont="1" applyFill="1" applyBorder="1" applyAlignment="1">
      <alignment horizontal="center" vertical="center"/>
    </xf>
    <xf numFmtId="0" fontId="0" fillId="0" borderId="3" xfId="0" applyBorder="1"/>
    <xf numFmtId="2" fontId="20" fillId="5" borderId="0" xfId="0" applyNumberFormat="1" applyFont="1" applyFill="1" applyAlignment="1">
      <alignment horizontal="center" vertical="center"/>
    </xf>
    <xf numFmtId="0" fontId="0" fillId="0" borderId="0" xfId="0"/>
    <xf numFmtId="0" fontId="31" fillId="0" borderId="1" xfId="0" applyFont="1" applyBorder="1" applyAlignment="1">
      <alignment horizontal="center" vertical="center"/>
    </xf>
    <xf numFmtId="0" fontId="39" fillId="5" borderId="0" xfId="0" applyFont="1" applyFill="1" applyAlignment="1">
      <alignment horizontal="center" vertical="center"/>
    </xf>
    <xf numFmtId="0" fontId="37" fillId="5" borderId="0" xfId="0" applyFont="1" applyFill="1" applyAlignment="1">
      <alignment horizontal="center" vertical="center"/>
    </xf>
    <xf numFmtId="0" fontId="31" fillId="10" borderId="1" xfId="0" applyFont="1" applyFill="1" applyBorder="1"/>
    <xf numFmtId="0" fontId="46" fillId="0" borderId="1" xfId="0" applyFont="1" applyBorder="1" applyAlignment="1">
      <alignment horizontal="center" vertical="center"/>
    </xf>
    <xf numFmtId="2" fontId="33" fillId="9" borderId="14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31" fillId="10" borderId="1" xfId="0" applyFont="1" applyFill="1" applyBorder="1" applyAlignment="1">
      <alignment horizontal="left" vertical="center"/>
    </xf>
    <xf numFmtId="0" fontId="31" fillId="7" borderId="13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33" fillId="10" borderId="1" xfId="0" applyFont="1" applyFill="1" applyBorder="1"/>
    <xf numFmtId="0" fontId="20" fillId="5" borderId="0" xfId="0" applyFont="1" applyFill="1" applyAlignment="1">
      <alignment horizontal="center" vertical="center"/>
    </xf>
    <xf numFmtId="0" fontId="20" fillId="5" borderId="0" xfId="0" applyFont="1" applyFill="1"/>
    <xf numFmtId="0" fontId="31" fillId="5" borderId="0" xfId="0" applyFont="1" applyFill="1"/>
    <xf numFmtId="0" fontId="23" fillId="5" borderId="0" xfId="0" applyFont="1" applyFill="1" applyAlignment="1">
      <alignment horizontal="center" vertical="center"/>
    </xf>
    <xf numFmtId="2" fontId="33" fillId="7" borderId="1" xfId="0" applyNumberFormat="1" applyFont="1" applyFill="1" applyBorder="1" applyAlignment="1">
      <alignment horizontal="center" vertical="center"/>
    </xf>
    <xf numFmtId="0" fontId="33" fillId="5" borderId="0" xfId="0" applyFont="1" applyFill="1" applyAlignment="1">
      <alignment vertical="center"/>
    </xf>
    <xf numFmtId="0" fontId="14" fillId="3" borderId="1" xfId="0" applyFont="1" applyFill="1" applyBorder="1" applyAlignment="1">
      <alignment horizontal="center" vertical="center"/>
    </xf>
    <xf numFmtId="0" fontId="38" fillId="5" borderId="0" xfId="0" applyFont="1" applyFill="1" applyAlignment="1">
      <alignment horizontal="center" vertical="center"/>
    </xf>
    <xf numFmtId="0" fontId="5" fillId="0" borderId="0" xfId="0" applyFont="1"/>
    <xf numFmtId="0" fontId="11" fillId="0" borderId="0" xfId="0" applyFont="1"/>
    <xf numFmtId="0" fontId="9" fillId="0" borderId="0" xfId="0" applyFont="1"/>
  </cellXfs>
  <cellStyles count="1">
    <cellStyle name="Normal" xfId="0" builtinId="0"/>
  </cellStyles>
  <dxfs count="4">
    <dxf>
      <font>
        <color rgb="FFFF0000"/>
      </font>
      <fill>
        <patternFill patternType="solid">
          <fgColor rgb="FFF4C7C3"/>
          <bgColor rgb="FFF4C7C3"/>
        </patternFill>
      </fill>
    </dxf>
    <dxf>
      <font>
        <color rgb="FF6AA84F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4C7C3"/>
          <bgColor rgb="FFF4C7C3"/>
        </patternFill>
      </fill>
    </dxf>
    <dxf>
      <font>
        <color rgb="FF6AA84F"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AP880"/>
  <sheetViews>
    <sheetView showGridLines="0" tabSelected="1" topLeftCell="A28" zoomScale="85" zoomScaleNormal="85" workbookViewId="0">
      <pane xSplit="3" ySplit="7" topLeftCell="S35" activePane="bottomRight" state="frozen"/>
      <selection activeCell="A28" sqref="A28"/>
      <selection pane="topRight" activeCell="D28" sqref="D28"/>
      <selection pane="bottomLeft" activeCell="A35" sqref="A35"/>
      <selection pane="bottomRight" activeCell="AJ44" sqref="AJ44"/>
    </sheetView>
  </sheetViews>
  <sheetFormatPr defaultColWidth="12.6640625" defaultRowHeight="15" customHeight="1" x14ac:dyDescent="0.25"/>
  <cols>
    <col min="1" max="1" width="4" style="86" customWidth="1"/>
    <col min="2" max="2" width="36" style="86" customWidth="1"/>
    <col min="3" max="3" width="14.44140625" style="86" hidden="1" customWidth="1"/>
    <col min="4" max="4" width="6.77734375" style="86" customWidth="1"/>
    <col min="5" max="5" width="13" style="86" customWidth="1"/>
    <col min="6" max="6" width="9.88671875" style="86" customWidth="1"/>
    <col min="7" max="7" width="23.77734375" style="86" customWidth="1"/>
    <col min="8" max="8" width="12.77734375" style="86" bestFit="1" customWidth="1"/>
    <col min="9" max="10" width="12.88671875" style="86" hidden="1" customWidth="1"/>
    <col min="11" max="14" width="11.109375" style="86" hidden="1" customWidth="1"/>
    <col min="15" max="16" width="15" style="86" hidden="1" customWidth="1"/>
    <col min="17" max="17" width="14.6640625" style="86" hidden="1" customWidth="1"/>
    <col min="18" max="18" width="12.44140625" style="86" hidden="1" customWidth="1"/>
    <col min="19" max="19" width="18" style="86" bestFit="1" customWidth="1"/>
    <col min="20" max="20" width="12.77734375" style="86" customWidth="1"/>
    <col min="21" max="21" width="16.109375" style="86" hidden="1" customWidth="1"/>
    <col min="22" max="22" width="15.88671875" style="86" hidden="1" customWidth="1"/>
    <col min="23" max="23" width="12.21875" style="86" hidden="1" customWidth="1"/>
    <col min="24" max="24" width="11.109375" style="86" hidden="1" customWidth="1"/>
    <col min="25" max="25" width="15.109375" style="86" hidden="1" customWidth="1"/>
    <col min="26" max="26" width="15.88671875" style="86" hidden="1" customWidth="1"/>
    <col min="27" max="27" width="21" style="86" hidden="1" customWidth="1"/>
    <col min="28" max="29" width="11.109375" style="86" hidden="1" customWidth="1"/>
    <col min="30" max="31" width="11.109375" style="86" customWidth="1"/>
    <col min="32" max="32" width="21.88671875" style="86" customWidth="1"/>
    <col min="33" max="33" width="29" style="86" bestFit="1" customWidth="1"/>
    <col min="34" max="34" width="12.77734375" style="86" bestFit="1" customWidth="1"/>
    <col min="35" max="35" width="17.33203125" style="86" bestFit="1" customWidth="1"/>
    <col min="36" max="36" width="23.21875" style="86" bestFit="1" customWidth="1"/>
    <col min="37" max="37" width="9.109375" style="86" customWidth="1"/>
    <col min="38" max="38" width="8.6640625" style="86" customWidth="1"/>
    <col min="39" max="39" width="7.6640625" style="86" customWidth="1"/>
    <col min="40" max="40" width="8.44140625" style="86" customWidth="1"/>
    <col min="41" max="41" width="18.6640625" style="86" customWidth="1"/>
    <col min="42" max="42" width="7.6640625" style="86" customWidth="1"/>
  </cols>
  <sheetData>
    <row r="1" spans="1:42" ht="22.5" customHeight="1" x14ac:dyDescent="0.25">
      <c r="A1" s="124" t="s">
        <v>0</v>
      </c>
      <c r="B1" s="95"/>
      <c r="C1" s="9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</row>
    <row r="2" spans="1:42" ht="12.75" customHeight="1" x14ac:dyDescent="0.25">
      <c r="A2" s="121" t="s">
        <v>1</v>
      </c>
      <c r="B2" s="104"/>
      <c r="C2" s="104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</row>
    <row r="3" spans="1:42" ht="12.75" customHeight="1" x14ac:dyDescent="0.25">
      <c r="A3" s="104"/>
      <c r="B3" s="104"/>
      <c r="C3" s="104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</row>
    <row r="4" spans="1:42" ht="12.75" customHeight="1" x14ac:dyDescent="0.25">
      <c r="A4" s="104"/>
      <c r="B4" s="104"/>
      <c r="C4" s="104"/>
      <c r="D4" s="16"/>
      <c r="E4" s="29" t="s">
        <v>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</row>
    <row r="5" spans="1:42" ht="13.2" customHeight="1" x14ac:dyDescent="0.25">
      <c r="A5" s="114" t="s">
        <v>3</v>
      </c>
      <c r="B5" s="115"/>
      <c r="C5" s="116"/>
      <c r="D5" s="16"/>
      <c r="E5" s="34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2.75" customHeight="1" x14ac:dyDescent="0.25">
      <c r="A6" s="110" t="s">
        <v>4</v>
      </c>
      <c r="B6" s="111"/>
      <c r="C6" s="112"/>
      <c r="D6" s="16"/>
      <c r="E6" s="34" t="s">
        <v>5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2.75" customHeight="1" x14ac:dyDescent="0.25">
      <c r="A7" s="119"/>
      <c r="B7" s="104"/>
      <c r="C7" s="104"/>
      <c r="D7" s="16"/>
      <c r="E7" s="34" t="s">
        <v>6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2.75" customHeight="1" x14ac:dyDescent="0.25">
      <c r="A8" s="117" t="s">
        <v>7</v>
      </c>
      <c r="B8" s="96"/>
      <c r="C8" s="37">
        <v>0.67</v>
      </c>
      <c r="D8" s="16"/>
      <c r="E8" s="34" t="s">
        <v>8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2.75" customHeight="1" x14ac:dyDescent="0.25">
      <c r="A9" s="108" t="s">
        <v>9</v>
      </c>
      <c r="B9" s="96"/>
      <c r="C9" s="38">
        <v>4.4400000000000004</v>
      </c>
      <c r="D9" s="16"/>
      <c r="E9" s="39" t="s">
        <v>10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2.75" customHeight="1" x14ac:dyDescent="0.25">
      <c r="A10" s="120"/>
      <c r="B10" s="104"/>
      <c r="C10" s="104"/>
      <c r="D10" s="16"/>
      <c r="E10" s="39" t="s">
        <v>11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7.399999999999999" customHeight="1" x14ac:dyDescent="0.25">
      <c r="A11" s="113" t="s">
        <v>12</v>
      </c>
      <c r="B11" s="96"/>
      <c r="C11" s="37">
        <v>8</v>
      </c>
      <c r="D11" s="40"/>
      <c r="E11" s="123" t="s">
        <v>13</v>
      </c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6"/>
      <c r="X11" s="16"/>
      <c r="Y11" s="16"/>
      <c r="Z11" s="16"/>
      <c r="AA11" s="16"/>
      <c r="AB11" s="16"/>
      <c r="AC11" s="16"/>
      <c r="AD11" s="16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2.75" customHeight="1" x14ac:dyDescent="0.25">
      <c r="A12" s="108" t="s">
        <v>14</v>
      </c>
      <c r="B12" s="96"/>
      <c r="C12" s="41">
        <f>$C$11*$C$9</f>
        <v>35.520000000000003</v>
      </c>
      <c r="D12" s="40"/>
      <c r="E12" s="34" t="s">
        <v>15</v>
      </c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16"/>
      <c r="Q12" s="16"/>
      <c r="R12" s="40"/>
      <c r="S12" s="40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2.75" customHeight="1" x14ac:dyDescent="0.25">
      <c r="A13" s="108" t="s">
        <v>16</v>
      </c>
      <c r="B13" s="96"/>
      <c r="C13" s="37">
        <v>3.6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16"/>
      <c r="Q13" s="16"/>
      <c r="R13" s="40"/>
      <c r="S13" s="40"/>
      <c r="T13" s="16"/>
      <c r="U13" s="16"/>
      <c r="V13" s="16"/>
      <c r="W13" s="16"/>
      <c r="X13" s="16"/>
      <c r="Y13" s="16"/>
      <c r="Z13" s="40"/>
      <c r="AA13" s="40"/>
      <c r="AB13" s="40"/>
      <c r="AC13" s="40"/>
      <c r="AD13" s="40"/>
      <c r="AE13" s="40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2.75" customHeight="1" x14ac:dyDescent="0.25">
      <c r="A14" s="108" t="s">
        <v>17</v>
      </c>
      <c r="B14" s="96"/>
      <c r="C14" s="41">
        <f>$C$13*$C$9</f>
        <v>15.984000000000002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16"/>
      <c r="U14" s="16"/>
      <c r="V14" s="16"/>
      <c r="W14" s="16"/>
      <c r="X14" s="16"/>
      <c r="Y14" s="16"/>
      <c r="Z14" s="40"/>
      <c r="AA14" s="40"/>
      <c r="AB14" s="40"/>
      <c r="AC14" s="40"/>
      <c r="AD14" s="40"/>
      <c r="AE14" s="40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2.75" customHeight="1" x14ac:dyDescent="0.25">
      <c r="A15" s="103" t="s">
        <v>18</v>
      </c>
      <c r="B15" s="104"/>
      <c r="C15" s="104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16"/>
      <c r="U15" s="16"/>
      <c r="V15" s="16"/>
      <c r="W15" s="16"/>
      <c r="X15" s="16"/>
      <c r="Y15" s="16"/>
      <c r="Z15" s="16"/>
      <c r="AA15" s="40"/>
      <c r="AB15" s="40"/>
      <c r="AC15" s="40"/>
      <c r="AD15" s="40"/>
      <c r="AE15" s="40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2.75" customHeight="1" x14ac:dyDescent="0.25">
      <c r="A16" s="104"/>
      <c r="B16" s="104"/>
      <c r="C16" s="104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16"/>
      <c r="U16" s="16"/>
      <c r="V16" s="16"/>
      <c r="W16" s="16"/>
      <c r="X16" s="16"/>
      <c r="Y16" s="16"/>
      <c r="Z16" s="40"/>
      <c r="AA16" s="40"/>
      <c r="AB16" s="40"/>
      <c r="AC16" s="40"/>
      <c r="AD16" s="40"/>
      <c r="AE16" s="40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2.75" customHeight="1" x14ac:dyDescent="0.25">
      <c r="A17" s="108" t="s">
        <v>19</v>
      </c>
      <c r="B17" s="96"/>
      <c r="C17" s="42">
        <v>0.01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16"/>
      <c r="U17" s="16"/>
      <c r="V17" s="16"/>
      <c r="W17" s="16"/>
      <c r="X17" s="16"/>
      <c r="Y17" s="16"/>
      <c r="Z17" s="40"/>
      <c r="AA17" s="40"/>
      <c r="AB17" s="40"/>
      <c r="AC17" s="40"/>
      <c r="AD17" s="40"/>
      <c r="AE17" s="40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2.75" customHeight="1" x14ac:dyDescent="0.25">
      <c r="A18" s="108" t="s">
        <v>20</v>
      </c>
      <c r="B18" s="96"/>
      <c r="C18" s="42">
        <v>0.03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2.75" customHeight="1" x14ac:dyDescent="0.25">
      <c r="A19" s="108" t="s">
        <v>21</v>
      </c>
      <c r="B19" s="96"/>
      <c r="C19" s="43">
        <v>0.21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2.75" customHeight="1" x14ac:dyDescent="0.25">
      <c r="A20" s="108" t="s">
        <v>22</v>
      </c>
      <c r="B20" s="96"/>
      <c r="C20" s="43">
        <v>6.5000000000000002E-2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16"/>
      <c r="X20" s="16"/>
      <c r="Y20" s="16"/>
      <c r="Z20" s="16"/>
      <c r="AA20" s="16"/>
      <c r="AB20" s="16"/>
      <c r="AC20" s="16"/>
      <c r="AD20" s="16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2.75" customHeight="1" x14ac:dyDescent="0.25">
      <c r="A21" s="108" t="s">
        <v>23</v>
      </c>
      <c r="B21" s="96"/>
      <c r="C21" s="44">
        <f>IF(OR($A$2="Impozit pe profit platitor de TVA",$A$2="Impozit pe profit neplatitor de TVA"),16%,1%)</f>
        <v>0.16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16"/>
      <c r="X21" s="16"/>
      <c r="Y21" s="16"/>
      <c r="Z21" s="16"/>
      <c r="AA21" s="16"/>
      <c r="AB21" s="16"/>
      <c r="AC21" s="16"/>
      <c r="AD21" s="45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2.75" customHeight="1" x14ac:dyDescent="0.25">
      <c r="A22" s="120"/>
      <c r="B22" s="104"/>
      <c r="C22" s="104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16"/>
      <c r="X22" s="16"/>
      <c r="Y22" s="16"/>
      <c r="Z22" s="16"/>
      <c r="AA22" s="16"/>
      <c r="AB22" s="16"/>
      <c r="AC22" s="16"/>
      <c r="AD22" s="16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2.75" customHeight="1" x14ac:dyDescent="0.25">
      <c r="A23" s="97" t="s">
        <v>24</v>
      </c>
      <c r="B23" s="98"/>
      <c r="C23" s="101">
        <v>5.5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16"/>
      <c r="X23" s="16"/>
      <c r="Y23" s="16"/>
      <c r="Z23" s="16"/>
      <c r="AA23" s="16"/>
      <c r="AB23" s="16"/>
      <c r="AC23" s="16"/>
      <c r="AD23" s="16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2.75" customHeight="1" x14ac:dyDescent="0.25">
      <c r="A24" s="99"/>
      <c r="B24" s="100"/>
      <c r="C24" s="102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16"/>
      <c r="X24" s="16"/>
      <c r="Y24" s="16"/>
      <c r="Z24" s="16"/>
      <c r="AA24" s="16"/>
      <c r="AB24" s="16"/>
      <c r="AC24" s="16"/>
      <c r="AD24" s="16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2.75" customHeight="1" x14ac:dyDescent="0.25">
      <c r="A25" s="120"/>
      <c r="B25" s="104"/>
      <c r="C25" s="104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16"/>
      <c r="X25" s="16"/>
      <c r="Y25" s="16"/>
      <c r="Z25" s="16"/>
      <c r="AA25" s="16"/>
      <c r="AB25" s="16"/>
      <c r="AC25" s="16"/>
      <c r="AD25" s="16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2.75" customHeight="1" x14ac:dyDescent="0.25">
      <c r="A26" s="97" t="s">
        <v>25</v>
      </c>
      <c r="B26" s="98"/>
      <c r="C26" s="101">
        <v>19.2</v>
      </c>
      <c r="D26" s="125" t="s">
        <v>26</v>
      </c>
      <c r="E26" s="104"/>
      <c r="F26" s="104"/>
      <c r="G26" s="104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16"/>
      <c r="X26" s="16"/>
      <c r="Y26" s="16"/>
      <c r="Z26" s="16"/>
      <c r="AA26" s="16"/>
      <c r="AB26" s="16"/>
      <c r="AC26" s="16"/>
      <c r="AD26" s="16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2.75" customHeight="1" x14ac:dyDescent="0.25">
      <c r="A27" s="99"/>
      <c r="B27" s="100"/>
      <c r="C27" s="102"/>
      <c r="D27" s="104"/>
      <c r="E27" s="104"/>
      <c r="F27" s="104"/>
      <c r="G27" s="104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16"/>
      <c r="X27" s="16"/>
      <c r="Y27" s="16"/>
      <c r="Z27" s="16"/>
      <c r="AA27" s="16"/>
      <c r="AB27" s="16"/>
      <c r="AC27" s="16"/>
      <c r="AD27" s="16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2.75" customHeight="1" x14ac:dyDescent="0.25">
      <c r="A28" s="120"/>
      <c r="B28" s="104"/>
      <c r="C28" s="104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2.75" customHeight="1" x14ac:dyDescent="0.25">
      <c r="A29" s="97" t="s">
        <v>27</v>
      </c>
      <c r="B29" s="98"/>
      <c r="C29" s="101">
        <v>15.9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2.75" customHeight="1" x14ac:dyDescent="0.25">
      <c r="A30" s="99"/>
      <c r="B30" s="100"/>
      <c r="C30" s="102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2.75" customHeight="1" x14ac:dyDescent="0.25">
      <c r="A31" s="118" t="s">
        <v>28</v>
      </c>
      <c r="B31" s="104"/>
      <c r="C31" s="104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2.75" customHeight="1" x14ac:dyDescent="0.25">
      <c r="A32" s="104"/>
      <c r="B32" s="104"/>
      <c r="C32" s="104"/>
      <c r="D32" s="106" t="s">
        <v>29</v>
      </c>
      <c r="E32" s="106" t="s">
        <v>29</v>
      </c>
      <c r="F32" s="106" t="s">
        <v>29</v>
      </c>
      <c r="G32" s="107" t="s">
        <v>30</v>
      </c>
      <c r="H32" s="106" t="s">
        <v>29</v>
      </c>
      <c r="I32" s="87" t="s">
        <v>30</v>
      </c>
      <c r="J32" s="87" t="s">
        <v>30</v>
      </c>
      <c r="K32" s="87" t="s">
        <v>30</v>
      </c>
      <c r="L32" s="87" t="s">
        <v>30</v>
      </c>
      <c r="M32" s="87" t="s">
        <v>30</v>
      </c>
      <c r="N32" s="87" t="s">
        <v>30</v>
      </c>
      <c r="O32" s="107" t="s">
        <v>30</v>
      </c>
      <c r="P32" s="107" t="s">
        <v>30</v>
      </c>
      <c r="Q32" s="107" t="s">
        <v>30</v>
      </c>
      <c r="R32" s="107" t="s">
        <v>30</v>
      </c>
      <c r="S32" s="106" t="s">
        <v>29</v>
      </c>
      <c r="T32" s="106" t="s">
        <v>29</v>
      </c>
      <c r="U32" s="87" t="s">
        <v>30</v>
      </c>
      <c r="V32" s="87" t="s">
        <v>30</v>
      </c>
      <c r="W32" s="87" t="s">
        <v>30</v>
      </c>
      <c r="X32" s="87" t="s">
        <v>30</v>
      </c>
      <c r="Y32" s="87" t="s">
        <v>30</v>
      </c>
      <c r="Z32" s="87" t="s">
        <v>30</v>
      </c>
      <c r="AA32" s="87" t="s">
        <v>30</v>
      </c>
      <c r="AB32" s="107" t="s">
        <v>30</v>
      </c>
      <c r="AC32" s="107" t="s">
        <v>30</v>
      </c>
      <c r="AD32" s="107" t="s">
        <v>30</v>
      </c>
      <c r="AE32" s="107" t="s">
        <v>30</v>
      </c>
      <c r="AF32" s="107" t="s">
        <v>30</v>
      </c>
      <c r="AG32" s="107" t="s">
        <v>30</v>
      </c>
      <c r="AH32" s="106" t="s">
        <v>29</v>
      </c>
      <c r="AI32" s="107" t="s">
        <v>30</v>
      </c>
      <c r="AJ32" s="107" t="s">
        <v>30</v>
      </c>
      <c r="AK32" s="106" t="s">
        <v>29</v>
      </c>
      <c r="AL32" s="106" t="s">
        <v>29</v>
      </c>
      <c r="AM32" s="106" t="s">
        <v>29</v>
      </c>
      <c r="AN32" s="106" t="s">
        <v>29</v>
      </c>
      <c r="AO32" s="106" t="s">
        <v>29</v>
      </c>
      <c r="AP32" s="106" t="s">
        <v>29</v>
      </c>
    </row>
    <row r="33" spans="1:42" ht="12.75" customHeight="1" x14ac:dyDescent="0.25">
      <c r="A33" s="104"/>
      <c r="B33" s="104"/>
      <c r="C33" s="104"/>
      <c r="D33" s="104"/>
      <c r="E33" s="104"/>
      <c r="F33" s="104"/>
      <c r="G33" s="104"/>
      <c r="H33" s="104"/>
      <c r="I33" s="94" t="s">
        <v>31</v>
      </c>
      <c r="J33" s="95"/>
      <c r="K33" s="95"/>
      <c r="L33" s="95"/>
      <c r="M33" s="95"/>
      <c r="N33" s="96"/>
      <c r="O33" s="104"/>
      <c r="P33" s="104"/>
      <c r="Q33" s="104"/>
      <c r="R33" s="104"/>
      <c r="S33" s="104"/>
      <c r="T33" s="104"/>
      <c r="U33" s="94" t="s">
        <v>31</v>
      </c>
      <c r="V33" s="95"/>
      <c r="W33" s="95"/>
      <c r="X33" s="95"/>
      <c r="Y33" s="95"/>
      <c r="Z33" s="95"/>
      <c r="AA33" s="96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</row>
    <row r="34" spans="1:42" ht="27" customHeight="1" x14ac:dyDescent="0.25">
      <c r="A34" s="89" t="s">
        <v>32</v>
      </c>
      <c r="B34" s="122" t="s">
        <v>33</v>
      </c>
      <c r="C34" s="96"/>
      <c r="D34" s="46" t="s">
        <v>34</v>
      </c>
      <c r="E34" s="46" t="s">
        <v>35</v>
      </c>
      <c r="F34" s="46" t="s">
        <v>36</v>
      </c>
      <c r="G34" s="47" t="s">
        <v>37</v>
      </c>
      <c r="H34" s="46" t="s">
        <v>38</v>
      </c>
      <c r="I34" s="48" t="s">
        <v>39</v>
      </c>
      <c r="J34" s="48" t="s">
        <v>40</v>
      </c>
      <c r="K34" s="48" t="s">
        <v>41</v>
      </c>
      <c r="L34" s="48" t="s">
        <v>42</v>
      </c>
      <c r="M34" s="48" t="s">
        <v>43</v>
      </c>
      <c r="N34" s="48" t="s">
        <v>44</v>
      </c>
      <c r="O34" s="49" t="s">
        <v>45</v>
      </c>
      <c r="P34" s="49" t="s">
        <v>46</v>
      </c>
      <c r="Q34" s="49" t="s">
        <v>47</v>
      </c>
      <c r="R34" s="49" t="s">
        <v>48</v>
      </c>
      <c r="S34" s="38" t="str">
        <f>IF(OR($A$2="Impozit pe profit neplatitor de TVA",$A$2="Microintreprindere (un angajat minim) neplatitor de TVA"),"Pret vanzare eMAG","Pret vanzare eMAG cu TVA")</f>
        <v>Pret vanzare eMAG</v>
      </c>
      <c r="T34" s="38" t="s">
        <v>49</v>
      </c>
      <c r="U34" s="50" t="str">
        <f>IF(OR($A$2="Impozit pe profit neplatitor de TVA",$A$2="Microintreprindere (un angajat minim) neplatitor de TVA"),"Pret vanzare eMAG","Pret vanzare eMAG fara TVA")</f>
        <v>Pret vanzare eMAG</v>
      </c>
      <c r="V34" s="50" t="s">
        <v>50</v>
      </c>
      <c r="W34" s="50" t="s">
        <v>51</v>
      </c>
      <c r="X34" s="50" t="s">
        <v>52</v>
      </c>
      <c r="Y34" s="50" t="s">
        <v>53</v>
      </c>
      <c r="Z34" s="47" t="s">
        <v>54</v>
      </c>
      <c r="AA34" s="47" t="s">
        <v>55</v>
      </c>
      <c r="AB34" s="47" t="s">
        <v>56</v>
      </c>
      <c r="AC34" s="47" t="s">
        <v>57</v>
      </c>
      <c r="AD34" s="47" t="s">
        <v>58</v>
      </c>
      <c r="AE34" s="47" t="s">
        <v>59</v>
      </c>
      <c r="AF34" s="51" t="s">
        <v>60</v>
      </c>
      <c r="AG34" s="51" t="s">
        <v>61</v>
      </c>
      <c r="AH34" s="38" t="s">
        <v>62</v>
      </c>
      <c r="AI34" s="50" t="s">
        <v>63</v>
      </c>
      <c r="AJ34" s="50" t="s">
        <v>64</v>
      </c>
      <c r="AK34" s="38" t="s">
        <v>65</v>
      </c>
      <c r="AL34" s="38" t="s">
        <v>66</v>
      </c>
      <c r="AM34" s="38" t="s">
        <v>67</v>
      </c>
      <c r="AN34" s="38" t="s">
        <v>68</v>
      </c>
      <c r="AO34" s="52" t="s">
        <v>69</v>
      </c>
      <c r="AP34" s="53" t="s">
        <v>70</v>
      </c>
    </row>
    <row r="35" spans="1:42" ht="21.75" customHeight="1" x14ac:dyDescent="0.25">
      <c r="A35" s="93">
        <v>1</v>
      </c>
      <c r="B35" s="105" t="s">
        <v>71</v>
      </c>
      <c r="C35" s="96"/>
      <c r="D35" s="93" t="s">
        <v>72</v>
      </c>
      <c r="E35" s="67" t="s">
        <v>73</v>
      </c>
      <c r="F35" s="57">
        <v>6.9</v>
      </c>
      <c r="G35" s="68">
        <f t="shared" ref="G35:G66" si="0">IF(E35="RMB",(F35*$C$8)*(1+$C$17)*(1+$C$18),IF(E35="$$$",(F35*$C$9)*(1+$C$17)*(1+$C$18),"ALEGE $$$ SAU RMB"))</f>
        <v>31.870630800000004</v>
      </c>
      <c r="H35" s="69">
        <v>3.3439999999999999</v>
      </c>
      <c r="I35" s="70">
        <f t="shared" ref="I35:I66" si="1">H35*$C$12</f>
        <v>118.77888</v>
      </c>
      <c r="J35" s="70">
        <f t="shared" ref="J35:J66" si="2">H35*$C$14</f>
        <v>53.450496000000001</v>
      </c>
      <c r="K35" s="70">
        <f t="shared" ref="K35:K66" si="3">(G35+I35)*$C$20</f>
        <v>9.7922182020000008</v>
      </c>
      <c r="L35" s="70">
        <f t="shared" ref="L35:L66" si="4">(G35+J35)*$C$20</f>
        <v>5.5458732419999999</v>
      </c>
      <c r="M35" s="70">
        <f t="shared" ref="M35:M66" si="5">(G35+I35+K35)*$C$19</f>
        <v>33.692763090419994</v>
      </c>
      <c r="N35" s="70">
        <f t="shared" ref="N35:N66" si="6">(G35+J35+L35)*$C$19</f>
        <v>19.082070008820001</v>
      </c>
      <c r="O35" s="70">
        <f t="shared" ref="O35:O66" si="7">G35+I35+K35+M35</f>
        <v>194.13449209241998</v>
      </c>
      <c r="P35" s="70">
        <f t="shared" ref="P35:P66" si="8">G35+J35+L35+N35</f>
        <v>109.94907005082</v>
      </c>
      <c r="Q35" s="71">
        <f t="shared" ref="Q35:Q66" si="9">(O35-P35)</f>
        <v>84.185422041599978</v>
      </c>
      <c r="R35" s="54">
        <f t="shared" ref="R35:R66" si="10">(1-P35/O35)</f>
        <v>0.43364484659182834</v>
      </c>
      <c r="S35" s="72">
        <v>149.99</v>
      </c>
      <c r="T35" s="55">
        <v>0.2</v>
      </c>
      <c r="U35" s="71">
        <f t="shared" ref="U35:U66" si="11">IF(OR($A$2="Impozit pe profit neplatitor de TVA",$A$2="Microintreprindere (un angajat minim) neplatitor de TVA"),S35,S35/(1+$C$19))</f>
        <v>149.99</v>
      </c>
      <c r="V35" s="71">
        <f t="shared" ref="V35:V66" si="12">IF(OR($A$2="Impozit pe profit platitor de TVA",$A$2="Microintreprindere (un angajat minim) platitor de TVA"),(U35+$C$29/(1+$C$19))*T35,(U35+$C$29)*T35)</f>
        <v>33.178000000000004</v>
      </c>
      <c r="W35" s="71">
        <f t="shared" ref="W35:W66" si="13">V35*$C$19</f>
        <v>6.9673800000000004</v>
      </c>
      <c r="X35" s="71">
        <f t="shared" ref="X35:X66" si="14">IF($A$2="Impozit pe profit neplatitor de TVA",((U35+$C$29)-(V35+W35+O35+$C$26+$C$23))*$C$21,IF($A$2="Impozit pe profit platitor de TVA",((U35+$C$29/(1+$C$19))-(V35+(O35-M35)+($C$26+$C$23)/(1+$C$19)))*$C$21,IF($A$2="Microintreprindere (un angajat minim) neplatitor de TVA",(U35+$C$29)*$C$21,(U35+$C$29/(1+$C$19))*$C$21)))</f>
        <v>-14.894379534787191</v>
      </c>
      <c r="Y35" s="71">
        <f t="shared" ref="Y35:Y66" si="15">IF($A$2="Impozit pe profit neplatitor de TVA",((U35+$C$29)-(V35+W35+P35+$C$26+$C$23))*$C$21,IF($A$2="Impozit pe profit platitor de TVA",((U35+$C$29/(1+$C$19))-(V35+(P35-N35)+($C$26+$C$23)/(1+$C$19)))*$C$21,IF($A$2="Microintreprindere (un angajat minim) neplatitor de TVA",(U35+$C$29)*$C$21,(U35+$C$29/(1+$C$19))*$C$21)))</f>
        <v>-1.4247120081311959</v>
      </c>
      <c r="Z35" s="71">
        <f t="shared" ref="Z35:Z66" si="16">IF(OR($A$2="Impozit pe profit platitor de TVA",$A$2="Microintreprindere (un angajat minim) platitor de TVA"),(U35*$C$19+($C$29-($C$29/(1+$C$19))))-(W35+M35+(($C$26+$C$23)-($C$26+$C$23)/(1+$C$19))),0)</f>
        <v>0</v>
      </c>
      <c r="AA35" s="71">
        <f t="shared" ref="AA35:AA66" si="17">IF(OR($A$2="Impozit pe profit platitor de TVA",$A$2="Microintreprindere (un angajat minim) platitor de TVA"),(U35*$C$19+($C$29-($C$29/(1+$C$19))))-(W35+N35+(($C$26+$C$23)-($C$26+$C$23)/(1+$C$19))),0)</f>
        <v>0</v>
      </c>
      <c r="AB35" s="73">
        <f t="shared" ref="AB35:AB66" si="18">IF(OR($A$2="Impozit pe profit neplatitor de TVA",$A$2="Microintreprindere (un angajat minim) neplatitor de TVA"),((U35+$C$29)-(V35+W35+O35+$C$26+$C$23))-X35,((U35+$C$29/(1+$C$19))-(V35+(O35-M35)+($C$26+$C$23)/(1+$C$19)))-X35)</f>
        <v>-78.195492557632747</v>
      </c>
      <c r="AC35" s="56">
        <f t="shared" ref="AC35:AC66" si="19">AB35/S35</f>
        <v>-0.52133803958685743</v>
      </c>
      <c r="AD35" s="73">
        <f t="shared" ref="AD35:AD66" si="20">IF(OR($A$2="Impozit pe profit neplatitor de TVA",$A$2="Microintreprindere (un angajat minim) neplatitor de TVA"),(U35+$C$29)-(V35+W35+P35+$C$26+$C$23+Y35),((U35+$C$29/(1+$C$19))-(V35+(P35-N35)+($C$26+$C$23)/(1+$C$19)))-Y35)</f>
        <v>-7.4797380426887798</v>
      </c>
      <c r="AE35" s="56">
        <f t="shared" ref="AE35:AE66" si="21">AD35/U35</f>
        <v>-4.9868244834247476E-2</v>
      </c>
      <c r="AF35" s="74">
        <f t="shared" ref="AF35:AF66" si="22">IF($A$2="Impozit pe profit neplatitor de TVA",(O35+$C$23+$C$26-$C$29+(T35*$C$29*(1+$C$19)))/(1-T35*(1+$C$19)),IF($A$2="Impozit pe profit platitor de TVA",((O35+$C$23+$C$26)/(1-T35))-$C$29,IF($A$2="Microintreprindere (un angajat minim) neplatitor de TVA",(O35+$C$23+$C$26+$C$29*(T35*(1+$C$19)+$C$21-1))/(1-T35*(1+$C$19)-$C$21),IF($A$2="Microintreprindere (un angajat minim) platitor de TVA",(O35+$C$23+$C$26+$C$21*$C$29+T35*$C$29-$C$29)/(1-T35-$C$21),"EROARE"))))</f>
        <v>272.79985764171499</v>
      </c>
      <c r="AG35" s="74">
        <f t="shared" ref="AG35:AG66" si="23">IF($A$2="Impozit pe profit neplatitor de TVA",(P35+$C$23+$C$26-$C$29+(T35*$C$29*(1+$C$19)))/(1-T35*(1+$C$19)),IF($A$2="Impozit pe profit platitor de TVA",((P35+$C$23+$C$26)/(1-T35))-$C$29,IF($A$2="Microintreprindere (un angajat minim) neplatitor de TVA",(P35+$C$23+$C$26+$C$29*(T35*(1+$C$19)+$C$21-1))/(1-T35*(1+$C$19)-$C$21),IF($A$2="Microintreprindere (un angajat minim) platitor de TVA",(P35+$C$23+$C$26+$C$21*$C$29+T35*$C$29-$C$29)/(1-T35-$C$21),"EROARE"))))</f>
        <v>161.73729558155674</v>
      </c>
      <c r="AH35" s="75">
        <v>5</v>
      </c>
      <c r="AI35" s="76">
        <f t="shared" ref="AI35:AI66" si="24">(AH35*O35)/$C$9</f>
        <v>218.61992352749996</v>
      </c>
      <c r="AJ35" s="76">
        <f t="shared" ref="AJ35:AJ66" si="25">(AH35*P35)/$C$9</f>
        <v>123.81652032749999</v>
      </c>
      <c r="AK35" s="93"/>
      <c r="AL35" s="93"/>
      <c r="AM35" s="93"/>
      <c r="AN35" s="93"/>
      <c r="AO35" s="93"/>
      <c r="AP35" s="93"/>
    </row>
    <row r="36" spans="1:42" ht="21.75" customHeight="1" x14ac:dyDescent="0.25">
      <c r="A36" s="93">
        <v>2</v>
      </c>
      <c r="B36" s="105" t="s">
        <v>74</v>
      </c>
      <c r="C36" s="96"/>
      <c r="D36" s="93" t="s">
        <v>72</v>
      </c>
      <c r="E36" s="67" t="s">
        <v>73</v>
      </c>
      <c r="F36" s="57">
        <v>6.9</v>
      </c>
      <c r="G36" s="68">
        <f t="shared" si="0"/>
        <v>31.870630800000004</v>
      </c>
      <c r="H36" s="69">
        <v>3.3439999999999999</v>
      </c>
      <c r="I36" s="70">
        <f t="shared" si="1"/>
        <v>118.77888</v>
      </c>
      <c r="J36" s="70">
        <f t="shared" si="2"/>
        <v>53.450496000000001</v>
      </c>
      <c r="K36" s="70">
        <f t="shared" si="3"/>
        <v>9.7922182020000008</v>
      </c>
      <c r="L36" s="70">
        <f t="shared" si="4"/>
        <v>5.5458732419999999</v>
      </c>
      <c r="M36" s="70">
        <f t="shared" si="5"/>
        <v>33.692763090419994</v>
      </c>
      <c r="N36" s="70">
        <f t="shared" si="6"/>
        <v>19.082070008820001</v>
      </c>
      <c r="O36" s="70">
        <f t="shared" si="7"/>
        <v>194.13449209241998</v>
      </c>
      <c r="P36" s="70">
        <f t="shared" si="8"/>
        <v>109.94907005082</v>
      </c>
      <c r="Q36" s="71">
        <f t="shared" si="9"/>
        <v>84.185422041599978</v>
      </c>
      <c r="R36" s="54">
        <f t="shared" si="10"/>
        <v>0.43364484659182834</v>
      </c>
      <c r="S36" s="72">
        <v>149.99</v>
      </c>
      <c r="T36" s="55">
        <v>0.2</v>
      </c>
      <c r="U36" s="71">
        <f t="shared" si="11"/>
        <v>149.99</v>
      </c>
      <c r="V36" s="71">
        <f t="shared" si="12"/>
        <v>33.178000000000004</v>
      </c>
      <c r="W36" s="71">
        <f t="shared" si="13"/>
        <v>6.9673800000000004</v>
      </c>
      <c r="X36" s="71">
        <f t="shared" si="14"/>
        <v>-14.894379534787191</v>
      </c>
      <c r="Y36" s="71">
        <f t="shared" si="15"/>
        <v>-1.4247120081311959</v>
      </c>
      <c r="Z36" s="71">
        <f t="shared" si="16"/>
        <v>0</v>
      </c>
      <c r="AA36" s="71">
        <f t="shared" si="17"/>
        <v>0</v>
      </c>
      <c r="AB36" s="73">
        <f t="shared" si="18"/>
        <v>-78.195492557632747</v>
      </c>
      <c r="AC36" s="56">
        <f t="shared" si="19"/>
        <v>-0.52133803958685743</v>
      </c>
      <c r="AD36" s="73">
        <f t="shared" si="20"/>
        <v>-7.4797380426887798</v>
      </c>
      <c r="AE36" s="56">
        <f t="shared" si="21"/>
        <v>-4.9868244834247476E-2</v>
      </c>
      <c r="AF36" s="74">
        <f t="shared" si="22"/>
        <v>272.79985764171499</v>
      </c>
      <c r="AG36" s="74">
        <f t="shared" si="23"/>
        <v>161.73729558155674</v>
      </c>
      <c r="AH36" s="75">
        <v>5</v>
      </c>
      <c r="AI36" s="76">
        <f t="shared" si="24"/>
        <v>218.61992352749996</v>
      </c>
      <c r="AJ36" s="76">
        <f t="shared" si="25"/>
        <v>123.81652032749999</v>
      </c>
      <c r="AK36" s="93"/>
      <c r="AL36" s="93"/>
      <c r="AM36" s="93"/>
      <c r="AN36" s="93"/>
      <c r="AO36" s="93"/>
      <c r="AP36" s="93"/>
    </row>
    <row r="37" spans="1:42" ht="21.75" customHeight="1" x14ac:dyDescent="0.25">
      <c r="A37" s="93">
        <v>3</v>
      </c>
      <c r="B37" s="105" t="s">
        <v>75</v>
      </c>
      <c r="C37" s="96"/>
      <c r="D37" s="93" t="s">
        <v>72</v>
      </c>
      <c r="E37" s="67" t="s">
        <v>73</v>
      </c>
      <c r="F37" s="57">
        <v>6.9</v>
      </c>
      <c r="G37" s="68">
        <f t="shared" si="0"/>
        <v>31.870630800000004</v>
      </c>
      <c r="H37" s="69">
        <v>3.3439999999999999</v>
      </c>
      <c r="I37" s="70">
        <f t="shared" si="1"/>
        <v>118.77888</v>
      </c>
      <c r="J37" s="70">
        <f t="shared" si="2"/>
        <v>53.450496000000001</v>
      </c>
      <c r="K37" s="70">
        <f t="shared" si="3"/>
        <v>9.7922182020000008</v>
      </c>
      <c r="L37" s="70">
        <f t="shared" si="4"/>
        <v>5.5458732419999999</v>
      </c>
      <c r="M37" s="70">
        <f t="shared" si="5"/>
        <v>33.692763090419994</v>
      </c>
      <c r="N37" s="70">
        <f t="shared" si="6"/>
        <v>19.082070008820001</v>
      </c>
      <c r="O37" s="70">
        <f t="shared" si="7"/>
        <v>194.13449209241998</v>
      </c>
      <c r="P37" s="70">
        <f t="shared" si="8"/>
        <v>109.94907005082</v>
      </c>
      <c r="Q37" s="71">
        <f t="shared" si="9"/>
        <v>84.185422041599978</v>
      </c>
      <c r="R37" s="54">
        <f t="shared" si="10"/>
        <v>0.43364484659182834</v>
      </c>
      <c r="S37" s="72">
        <v>149.99</v>
      </c>
      <c r="T37" s="55">
        <v>0.22</v>
      </c>
      <c r="U37" s="71">
        <f t="shared" si="11"/>
        <v>149.99</v>
      </c>
      <c r="V37" s="71">
        <f t="shared" si="12"/>
        <v>36.495800000000003</v>
      </c>
      <c r="W37" s="71">
        <f t="shared" si="13"/>
        <v>7.6641180000000002</v>
      </c>
      <c r="X37" s="71">
        <f t="shared" si="14"/>
        <v>-15.536705614787193</v>
      </c>
      <c r="Y37" s="71">
        <f t="shared" si="15"/>
        <v>-2.0670380881311985</v>
      </c>
      <c r="Z37" s="71">
        <f t="shared" si="16"/>
        <v>0</v>
      </c>
      <c r="AA37" s="71">
        <f t="shared" si="17"/>
        <v>0</v>
      </c>
      <c r="AB37" s="73">
        <f t="shared" si="18"/>
        <v>-81.567704477632759</v>
      </c>
      <c r="AC37" s="56">
        <f t="shared" si="19"/>
        <v>-0.54382095124763485</v>
      </c>
      <c r="AD37" s="73">
        <f t="shared" si="20"/>
        <v>-10.851949962688792</v>
      </c>
      <c r="AE37" s="56">
        <f t="shared" si="21"/>
        <v>-7.2351156495024951E-2</v>
      </c>
      <c r="AF37" s="74">
        <f t="shared" si="22"/>
        <v>282.32089410250745</v>
      </c>
      <c r="AG37" s="74">
        <f t="shared" si="23"/>
        <v>167.59559832491141</v>
      </c>
      <c r="AH37" s="75">
        <v>5</v>
      </c>
      <c r="AI37" s="76">
        <f t="shared" si="24"/>
        <v>218.61992352749996</v>
      </c>
      <c r="AJ37" s="76">
        <f t="shared" si="25"/>
        <v>123.81652032749999</v>
      </c>
      <c r="AK37" s="93"/>
      <c r="AL37" s="93"/>
      <c r="AM37" s="93"/>
      <c r="AN37" s="93"/>
      <c r="AO37" s="93"/>
      <c r="AP37" s="93"/>
    </row>
    <row r="38" spans="1:42" ht="21.75" customHeight="1" x14ac:dyDescent="0.25">
      <c r="A38" s="93">
        <v>4</v>
      </c>
      <c r="B38" s="105" t="s">
        <v>76</v>
      </c>
      <c r="C38" s="96"/>
      <c r="D38" s="93" t="s">
        <v>72</v>
      </c>
      <c r="E38" s="67" t="s">
        <v>73</v>
      </c>
      <c r="F38" s="57">
        <v>3.9</v>
      </c>
      <c r="G38" s="68">
        <f t="shared" si="0"/>
        <v>18.013834800000001</v>
      </c>
      <c r="H38" s="69">
        <v>0.16639999999999999</v>
      </c>
      <c r="I38" s="70">
        <f t="shared" si="1"/>
        <v>5.9105280000000002</v>
      </c>
      <c r="J38" s="70">
        <f t="shared" si="2"/>
        <v>2.6597376000000001</v>
      </c>
      <c r="K38" s="70">
        <f t="shared" si="3"/>
        <v>1.5550835820000002</v>
      </c>
      <c r="L38" s="70">
        <f t="shared" si="4"/>
        <v>1.3437822060000002</v>
      </c>
      <c r="M38" s="70">
        <f t="shared" si="5"/>
        <v>5.35068374022</v>
      </c>
      <c r="N38" s="70">
        <f t="shared" si="6"/>
        <v>4.6236444672600001</v>
      </c>
      <c r="O38" s="70">
        <f t="shared" si="7"/>
        <v>30.830130122220002</v>
      </c>
      <c r="P38" s="70">
        <f t="shared" si="8"/>
        <v>26.640999073260001</v>
      </c>
      <c r="Q38" s="71">
        <f t="shared" si="9"/>
        <v>4.1891310489600002</v>
      </c>
      <c r="R38" s="54">
        <f t="shared" si="10"/>
        <v>0.13587782576177954</v>
      </c>
      <c r="S38" s="72">
        <v>89.99</v>
      </c>
      <c r="T38" s="55">
        <v>0.22</v>
      </c>
      <c r="U38" s="71">
        <f t="shared" si="11"/>
        <v>89.99</v>
      </c>
      <c r="V38" s="71">
        <f t="shared" si="12"/>
        <v>23.2958</v>
      </c>
      <c r="W38" s="71">
        <f t="shared" si="13"/>
        <v>4.892118</v>
      </c>
      <c r="X38" s="71">
        <f t="shared" si="14"/>
        <v>3.5475123004448008</v>
      </c>
      <c r="Y38" s="71">
        <f t="shared" si="15"/>
        <v>4.2177732682783997</v>
      </c>
      <c r="Z38" s="71">
        <f t="shared" si="16"/>
        <v>0</v>
      </c>
      <c r="AA38" s="71">
        <f t="shared" si="17"/>
        <v>0</v>
      </c>
      <c r="AB38" s="73">
        <f t="shared" si="18"/>
        <v>18.624439577335203</v>
      </c>
      <c r="AC38" s="56">
        <f t="shared" si="19"/>
        <v>0.20696121321630406</v>
      </c>
      <c r="AD38" s="73">
        <f t="shared" si="20"/>
        <v>22.143309658461604</v>
      </c>
      <c r="AE38" s="56">
        <f t="shared" si="21"/>
        <v>0.24606411444006673</v>
      </c>
      <c r="AF38" s="74">
        <f t="shared" si="22"/>
        <v>59.774748054265466</v>
      </c>
      <c r="AG38" s="74">
        <f t="shared" si="23"/>
        <v>54.065929508394667</v>
      </c>
      <c r="AH38" s="75">
        <v>5</v>
      </c>
      <c r="AI38" s="76">
        <f t="shared" si="24"/>
        <v>34.718615002500002</v>
      </c>
      <c r="AJ38" s="76">
        <f t="shared" si="25"/>
        <v>30.0011250825</v>
      </c>
      <c r="AK38" s="93"/>
      <c r="AL38" s="93"/>
      <c r="AM38" s="93"/>
      <c r="AN38" s="93"/>
      <c r="AO38" s="93"/>
      <c r="AP38" s="93"/>
    </row>
    <row r="39" spans="1:42" ht="21.75" customHeight="1" x14ac:dyDescent="0.25">
      <c r="A39" s="93">
        <v>5</v>
      </c>
      <c r="B39" s="105" t="s">
        <v>77</v>
      </c>
      <c r="C39" s="96"/>
      <c r="D39" s="93" t="s">
        <v>72</v>
      </c>
      <c r="E39" s="67" t="s">
        <v>73</v>
      </c>
      <c r="F39" s="57">
        <v>3.9</v>
      </c>
      <c r="G39" s="68">
        <f t="shared" si="0"/>
        <v>18.013834800000001</v>
      </c>
      <c r="H39" s="69">
        <v>0.16639999999999999</v>
      </c>
      <c r="I39" s="70">
        <f t="shared" si="1"/>
        <v>5.9105280000000002</v>
      </c>
      <c r="J39" s="70">
        <f t="shared" si="2"/>
        <v>2.6597376000000001</v>
      </c>
      <c r="K39" s="70">
        <f t="shared" si="3"/>
        <v>1.5550835820000002</v>
      </c>
      <c r="L39" s="70">
        <f t="shared" si="4"/>
        <v>1.3437822060000002</v>
      </c>
      <c r="M39" s="70">
        <f t="shared" si="5"/>
        <v>5.35068374022</v>
      </c>
      <c r="N39" s="70">
        <f t="shared" si="6"/>
        <v>4.6236444672600001</v>
      </c>
      <c r="O39" s="70">
        <f t="shared" si="7"/>
        <v>30.830130122220002</v>
      </c>
      <c r="P39" s="70">
        <f t="shared" si="8"/>
        <v>26.640999073260001</v>
      </c>
      <c r="Q39" s="71">
        <f t="shared" si="9"/>
        <v>4.1891310489600002</v>
      </c>
      <c r="R39" s="54">
        <f t="shared" si="10"/>
        <v>0.13587782576177954</v>
      </c>
      <c r="S39" s="72">
        <v>89.99</v>
      </c>
      <c r="T39" s="55">
        <v>0.22</v>
      </c>
      <c r="U39" s="71">
        <f t="shared" si="11"/>
        <v>89.99</v>
      </c>
      <c r="V39" s="71">
        <f t="shared" si="12"/>
        <v>23.2958</v>
      </c>
      <c r="W39" s="71">
        <f t="shared" si="13"/>
        <v>4.892118</v>
      </c>
      <c r="X39" s="71">
        <f t="shared" si="14"/>
        <v>3.5475123004448008</v>
      </c>
      <c r="Y39" s="71">
        <f t="shared" si="15"/>
        <v>4.2177732682783997</v>
      </c>
      <c r="Z39" s="71">
        <f t="shared" si="16"/>
        <v>0</v>
      </c>
      <c r="AA39" s="71">
        <f t="shared" si="17"/>
        <v>0</v>
      </c>
      <c r="AB39" s="73">
        <f t="shared" si="18"/>
        <v>18.624439577335203</v>
      </c>
      <c r="AC39" s="56">
        <f t="shared" si="19"/>
        <v>0.20696121321630406</v>
      </c>
      <c r="AD39" s="73">
        <f t="shared" si="20"/>
        <v>22.143309658461604</v>
      </c>
      <c r="AE39" s="56">
        <f t="shared" si="21"/>
        <v>0.24606411444006673</v>
      </c>
      <c r="AF39" s="74">
        <f t="shared" si="22"/>
        <v>59.774748054265466</v>
      </c>
      <c r="AG39" s="74">
        <f t="shared" si="23"/>
        <v>54.065929508394667</v>
      </c>
      <c r="AH39" s="75">
        <v>5</v>
      </c>
      <c r="AI39" s="76">
        <f t="shared" si="24"/>
        <v>34.718615002500002</v>
      </c>
      <c r="AJ39" s="76">
        <f t="shared" si="25"/>
        <v>30.0011250825</v>
      </c>
      <c r="AK39" s="93"/>
      <c r="AL39" s="93"/>
      <c r="AM39" s="93"/>
      <c r="AN39" s="93"/>
      <c r="AO39" s="93"/>
      <c r="AP39" s="93"/>
    </row>
    <row r="40" spans="1:42" ht="21.75" customHeight="1" x14ac:dyDescent="0.25">
      <c r="A40" s="93">
        <v>6</v>
      </c>
      <c r="B40" s="105" t="s">
        <v>78</v>
      </c>
      <c r="C40" s="96"/>
      <c r="D40" s="93" t="s">
        <v>72</v>
      </c>
      <c r="E40" s="67" t="s">
        <v>73</v>
      </c>
      <c r="F40" s="57">
        <v>3.9</v>
      </c>
      <c r="G40" s="68">
        <f t="shared" si="0"/>
        <v>18.013834800000001</v>
      </c>
      <c r="H40" s="69">
        <v>0.16639999999999999</v>
      </c>
      <c r="I40" s="70">
        <f t="shared" si="1"/>
        <v>5.9105280000000002</v>
      </c>
      <c r="J40" s="70">
        <f t="shared" si="2"/>
        <v>2.6597376000000001</v>
      </c>
      <c r="K40" s="70">
        <f t="shared" si="3"/>
        <v>1.5550835820000002</v>
      </c>
      <c r="L40" s="70">
        <f t="shared" si="4"/>
        <v>1.3437822060000002</v>
      </c>
      <c r="M40" s="70">
        <f t="shared" si="5"/>
        <v>5.35068374022</v>
      </c>
      <c r="N40" s="70">
        <f t="shared" si="6"/>
        <v>4.6236444672600001</v>
      </c>
      <c r="O40" s="70">
        <f t="shared" si="7"/>
        <v>30.830130122220002</v>
      </c>
      <c r="P40" s="70">
        <f t="shared" si="8"/>
        <v>26.640999073260001</v>
      </c>
      <c r="Q40" s="71">
        <f t="shared" si="9"/>
        <v>4.1891310489600002</v>
      </c>
      <c r="R40" s="54">
        <f t="shared" si="10"/>
        <v>0.13587782576177954</v>
      </c>
      <c r="S40" s="72">
        <v>89.99</v>
      </c>
      <c r="T40" s="55">
        <v>0.22</v>
      </c>
      <c r="U40" s="71">
        <f t="shared" si="11"/>
        <v>89.99</v>
      </c>
      <c r="V40" s="71">
        <f t="shared" si="12"/>
        <v>23.2958</v>
      </c>
      <c r="W40" s="71">
        <f t="shared" si="13"/>
        <v>4.892118</v>
      </c>
      <c r="X40" s="71">
        <f t="shared" si="14"/>
        <v>3.5475123004448008</v>
      </c>
      <c r="Y40" s="71">
        <f t="shared" si="15"/>
        <v>4.2177732682783997</v>
      </c>
      <c r="Z40" s="71">
        <f t="shared" si="16"/>
        <v>0</v>
      </c>
      <c r="AA40" s="71">
        <f t="shared" si="17"/>
        <v>0</v>
      </c>
      <c r="AB40" s="73">
        <f t="shared" si="18"/>
        <v>18.624439577335203</v>
      </c>
      <c r="AC40" s="56">
        <f t="shared" si="19"/>
        <v>0.20696121321630406</v>
      </c>
      <c r="AD40" s="73">
        <f t="shared" si="20"/>
        <v>22.143309658461604</v>
      </c>
      <c r="AE40" s="56">
        <f t="shared" si="21"/>
        <v>0.24606411444006673</v>
      </c>
      <c r="AF40" s="74">
        <f t="shared" si="22"/>
        <v>59.774748054265466</v>
      </c>
      <c r="AG40" s="74">
        <f t="shared" si="23"/>
        <v>54.065929508394667</v>
      </c>
      <c r="AH40" s="75">
        <v>5</v>
      </c>
      <c r="AI40" s="76">
        <f t="shared" si="24"/>
        <v>34.718615002500002</v>
      </c>
      <c r="AJ40" s="76">
        <f t="shared" si="25"/>
        <v>30.0011250825</v>
      </c>
      <c r="AK40" s="93"/>
      <c r="AL40" s="93"/>
      <c r="AM40" s="93"/>
      <c r="AN40" s="93"/>
      <c r="AO40" s="93"/>
      <c r="AP40" s="93"/>
    </row>
    <row r="41" spans="1:42" ht="21.75" customHeight="1" x14ac:dyDescent="0.25">
      <c r="A41" s="93">
        <v>7</v>
      </c>
      <c r="B41" s="105" t="s">
        <v>79</v>
      </c>
      <c r="C41" s="96"/>
      <c r="D41" s="93" t="s">
        <v>72</v>
      </c>
      <c r="E41" s="67" t="s">
        <v>73</v>
      </c>
      <c r="F41" s="57">
        <v>3.9</v>
      </c>
      <c r="G41" s="68">
        <f t="shared" si="0"/>
        <v>18.013834800000001</v>
      </c>
      <c r="H41" s="69">
        <v>0.16639999999999999</v>
      </c>
      <c r="I41" s="70">
        <f t="shared" si="1"/>
        <v>5.9105280000000002</v>
      </c>
      <c r="J41" s="70">
        <f t="shared" si="2"/>
        <v>2.6597376000000001</v>
      </c>
      <c r="K41" s="70">
        <f t="shared" si="3"/>
        <v>1.5550835820000002</v>
      </c>
      <c r="L41" s="70">
        <f t="shared" si="4"/>
        <v>1.3437822060000002</v>
      </c>
      <c r="M41" s="70">
        <f t="shared" si="5"/>
        <v>5.35068374022</v>
      </c>
      <c r="N41" s="70">
        <f t="shared" si="6"/>
        <v>4.6236444672600001</v>
      </c>
      <c r="O41" s="70">
        <f t="shared" si="7"/>
        <v>30.830130122220002</v>
      </c>
      <c r="P41" s="70">
        <f t="shared" si="8"/>
        <v>26.640999073260001</v>
      </c>
      <c r="Q41" s="71">
        <f t="shared" si="9"/>
        <v>4.1891310489600002</v>
      </c>
      <c r="R41" s="54">
        <f t="shared" si="10"/>
        <v>0.13587782576177954</v>
      </c>
      <c r="S41" s="72">
        <v>89.99</v>
      </c>
      <c r="T41" s="55">
        <v>0.22</v>
      </c>
      <c r="U41" s="71">
        <f t="shared" si="11"/>
        <v>89.99</v>
      </c>
      <c r="V41" s="71">
        <f t="shared" si="12"/>
        <v>23.2958</v>
      </c>
      <c r="W41" s="71">
        <f t="shared" si="13"/>
        <v>4.892118</v>
      </c>
      <c r="X41" s="71">
        <f t="shared" si="14"/>
        <v>3.5475123004448008</v>
      </c>
      <c r="Y41" s="71">
        <f t="shared" si="15"/>
        <v>4.2177732682783997</v>
      </c>
      <c r="Z41" s="71">
        <f t="shared" si="16"/>
        <v>0</v>
      </c>
      <c r="AA41" s="71">
        <f t="shared" si="17"/>
        <v>0</v>
      </c>
      <c r="AB41" s="73">
        <f t="shared" si="18"/>
        <v>18.624439577335203</v>
      </c>
      <c r="AC41" s="56">
        <f t="shared" si="19"/>
        <v>0.20696121321630406</v>
      </c>
      <c r="AD41" s="73">
        <f t="shared" si="20"/>
        <v>22.143309658461604</v>
      </c>
      <c r="AE41" s="56">
        <f t="shared" si="21"/>
        <v>0.24606411444006673</v>
      </c>
      <c r="AF41" s="74">
        <f t="shared" si="22"/>
        <v>59.774748054265466</v>
      </c>
      <c r="AG41" s="74">
        <f t="shared" si="23"/>
        <v>54.065929508394667</v>
      </c>
      <c r="AH41" s="75">
        <v>5</v>
      </c>
      <c r="AI41" s="76">
        <f t="shared" si="24"/>
        <v>34.718615002500002</v>
      </c>
      <c r="AJ41" s="76">
        <f t="shared" si="25"/>
        <v>30.0011250825</v>
      </c>
      <c r="AK41" s="93"/>
      <c r="AL41" s="93"/>
      <c r="AM41" s="93"/>
      <c r="AN41" s="93"/>
      <c r="AO41" s="93"/>
      <c r="AP41" s="93"/>
    </row>
    <row r="42" spans="1:42" ht="21.75" customHeight="1" x14ac:dyDescent="0.25">
      <c r="A42" s="93">
        <v>8</v>
      </c>
      <c r="B42" s="105" t="s">
        <v>80</v>
      </c>
      <c r="C42" s="96"/>
      <c r="D42" s="93" t="s">
        <v>72</v>
      </c>
      <c r="E42" s="67" t="s">
        <v>73</v>
      </c>
      <c r="F42" s="57">
        <v>5.3</v>
      </c>
      <c r="G42" s="68">
        <f t="shared" si="0"/>
        <v>24.480339600000001</v>
      </c>
      <c r="H42" s="69">
        <v>0.42499999999999999</v>
      </c>
      <c r="I42" s="70">
        <f t="shared" si="1"/>
        <v>15.096</v>
      </c>
      <c r="J42" s="70">
        <f t="shared" si="2"/>
        <v>6.7932000000000006</v>
      </c>
      <c r="K42" s="70">
        <f t="shared" si="3"/>
        <v>2.5724620739999997</v>
      </c>
      <c r="L42" s="70">
        <f t="shared" si="4"/>
        <v>2.0327800740000002</v>
      </c>
      <c r="M42" s="70">
        <f t="shared" si="5"/>
        <v>8.8512483515399989</v>
      </c>
      <c r="N42" s="70">
        <f t="shared" si="6"/>
        <v>6.9943271315399995</v>
      </c>
      <c r="O42" s="70">
        <f t="shared" si="7"/>
        <v>51.000050025539998</v>
      </c>
      <c r="P42" s="70">
        <f t="shared" si="8"/>
        <v>40.300646805539998</v>
      </c>
      <c r="Q42" s="71">
        <f t="shared" si="9"/>
        <v>10.699403220000001</v>
      </c>
      <c r="R42" s="54">
        <f t="shared" si="10"/>
        <v>0.20979201421649418</v>
      </c>
      <c r="S42" s="72">
        <v>134.99</v>
      </c>
      <c r="T42" s="55">
        <v>0.25</v>
      </c>
      <c r="U42" s="71">
        <f t="shared" si="11"/>
        <v>134.99</v>
      </c>
      <c r="V42" s="71">
        <f t="shared" si="12"/>
        <v>37.722500000000004</v>
      </c>
      <c r="W42" s="71">
        <f t="shared" si="13"/>
        <v>7.9217250000000003</v>
      </c>
      <c r="X42" s="71">
        <f t="shared" si="14"/>
        <v>4.7273159959136022</v>
      </c>
      <c r="Y42" s="71">
        <f t="shared" si="15"/>
        <v>6.4392205111136018</v>
      </c>
      <c r="Z42" s="71">
        <f t="shared" si="16"/>
        <v>0</v>
      </c>
      <c r="AA42" s="71">
        <f t="shared" si="17"/>
        <v>0</v>
      </c>
      <c r="AB42" s="73">
        <f t="shared" si="18"/>
        <v>24.818408978546412</v>
      </c>
      <c r="AC42" s="56">
        <f t="shared" si="19"/>
        <v>0.18385368529925483</v>
      </c>
      <c r="AD42" s="73">
        <f t="shared" si="20"/>
        <v>33.805907683346405</v>
      </c>
      <c r="AE42" s="56">
        <f t="shared" si="21"/>
        <v>0.25043268155675535</v>
      </c>
      <c r="AF42" s="74">
        <f t="shared" si="22"/>
        <v>92.630537671025081</v>
      </c>
      <c r="AG42" s="74">
        <f t="shared" si="23"/>
        <v>77.290891477476706</v>
      </c>
      <c r="AH42" s="75">
        <v>5</v>
      </c>
      <c r="AI42" s="76">
        <f t="shared" si="24"/>
        <v>57.43248876749999</v>
      </c>
      <c r="AJ42" s="76">
        <f t="shared" si="25"/>
        <v>45.383611267499994</v>
      </c>
      <c r="AK42" s="93"/>
      <c r="AL42" s="93"/>
      <c r="AM42" s="93"/>
      <c r="AN42" s="93"/>
      <c r="AO42" s="93"/>
      <c r="AP42" s="93"/>
    </row>
    <row r="43" spans="1:42" ht="21.75" customHeight="1" x14ac:dyDescent="0.25">
      <c r="A43" s="93">
        <v>9</v>
      </c>
      <c r="B43" s="105" t="s">
        <v>81</v>
      </c>
      <c r="C43" s="96"/>
      <c r="D43" s="93" t="s">
        <v>72</v>
      </c>
      <c r="E43" s="67" t="s">
        <v>73</v>
      </c>
      <c r="F43" s="57">
        <v>1.5</v>
      </c>
      <c r="G43" s="68">
        <f t="shared" si="0"/>
        <v>6.9283980000000005</v>
      </c>
      <c r="H43" s="69">
        <v>1.28</v>
      </c>
      <c r="I43" s="70">
        <f t="shared" si="1"/>
        <v>45.465600000000002</v>
      </c>
      <c r="J43" s="70">
        <f t="shared" si="2"/>
        <v>20.459520000000001</v>
      </c>
      <c r="K43" s="70">
        <f t="shared" si="3"/>
        <v>3.4056098700000002</v>
      </c>
      <c r="L43" s="70">
        <f t="shared" si="4"/>
        <v>1.7802146700000003</v>
      </c>
      <c r="M43" s="70">
        <f t="shared" si="5"/>
        <v>11.717917652700001</v>
      </c>
      <c r="N43" s="70">
        <f t="shared" si="6"/>
        <v>6.1253078607000004</v>
      </c>
      <c r="O43" s="70">
        <f t="shared" si="7"/>
        <v>67.517525522699998</v>
      </c>
      <c r="P43" s="70">
        <f t="shared" si="8"/>
        <v>35.293440530700003</v>
      </c>
      <c r="Q43" s="71">
        <f t="shared" si="9"/>
        <v>32.224084991999995</v>
      </c>
      <c r="R43" s="54">
        <f t="shared" si="10"/>
        <v>0.47726993462113732</v>
      </c>
      <c r="S43" s="72">
        <v>64.989999999999995</v>
      </c>
      <c r="T43" s="55">
        <v>0.17</v>
      </c>
      <c r="U43" s="71">
        <f t="shared" si="11"/>
        <v>64.989999999999995</v>
      </c>
      <c r="V43" s="71">
        <f t="shared" si="12"/>
        <v>13.751300000000001</v>
      </c>
      <c r="W43" s="71">
        <f t="shared" si="13"/>
        <v>2.8877730000000001</v>
      </c>
      <c r="X43" s="71">
        <f t="shared" si="14"/>
        <v>-4.4746557636319997</v>
      </c>
      <c r="Y43" s="71">
        <f t="shared" si="15"/>
        <v>0.68119783508799858</v>
      </c>
      <c r="Z43" s="71">
        <f t="shared" si="16"/>
        <v>0</v>
      </c>
      <c r="AA43" s="71">
        <f t="shared" si="17"/>
        <v>0</v>
      </c>
      <c r="AB43" s="73">
        <f t="shared" si="18"/>
        <v>-23.491942759067996</v>
      </c>
      <c r="AC43" s="56">
        <f t="shared" si="19"/>
        <v>-0.36147011477254959</v>
      </c>
      <c r="AD43" s="73">
        <f t="shared" si="20"/>
        <v>3.5762886342119913</v>
      </c>
      <c r="AE43" s="56">
        <f t="shared" si="21"/>
        <v>5.5028291032651049E-2</v>
      </c>
      <c r="AF43" s="74">
        <f t="shared" si="22"/>
        <v>100.1991130840992</v>
      </c>
      <c r="AG43" s="74">
        <f t="shared" si="23"/>
        <v>59.629951568299127</v>
      </c>
      <c r="AH43" s="75">
        <v>5</v>
      </c>
      <c r="AI43" s="76">
        <f t="shared" si="24"/>
        <v>76.033249462499995</v>
      </c>
      <c r="AJ43" s="76">
        <f t="shared" si="25"/>
        <v>39.744865462500002</v>
      </c>
      <c r="AK43" s="93"/>
      <c r="AL43" s="93"/>
      <c r="AM43" s="93"/>
      <c r="AN43" s="93"/>
      <c r="AO43" s="93"/>
      <c r="AP43" s="93"/>
    </row>
    <row r="44" spans="1:42" ht="21.75" customHeight="1" x14ac:dyDescent="0.25">
      <c r="A44" s="93">
        <v>10</v>
      </c>
      <c r="B44" s="105" t="s">
        <v>82</v>
      </c>
      <c r="C44" s="96"/>
      <c r="D44" s="93" t="s">
        <v>72</v>
      </c>
      <c r="E44" s="67" t="s">
        <v>73</v>
      </c>
      <c r="F44" s="57">
        <v>1.5</v>
      </c>
      <c r="G44" s="68">
        <f t="shared" si="0"/>
        <v>6.9283980000000005</v>
      </c>
      <c r="H44" s="69">
        <v>1.28</v>
      </c>
      <c r="I44" s="70">
        <f t="shared" si="1"/>
        <v>45.465600000000002</v>
      </c>
      <c r="J44" s="70">
        <f t="shared" si="2"/>
        <v>20.459520000000001</v>
      </c>
      <c r="K44" s="70">
        <f t="shared" si="3"/>
        <v>3.4056098700000002</v>
      </c>
      <c r="L44" s="70">
        <f t="shared" si="4"/>
        <v>1.7802146700000003</v>
      </c>
      <c r="M44" s="70">
        <f t="shared" si="5"/>
        <v>11.717917652700001</v>
      </c>
      <c r="N44" s="70">
        <f t="shared" si="6"/>
        <v>6.1253078607000004</v>
      </c>
      <c r="O44" s="70">
        <f t="shared" si="7"/>
        <v>67.517525522699998</v>
      </c>
      <c r="P44" s="70">
        <f t="shared" si="8"/>
        <v>35.293440530700003</v>
      </c>
      <c r="Q44" s="71">
        <f t="shared" si="9"/>
        <v>32.224084991999995</v>
      </c>
      <c r="R44" s="54">
        <f t="shared" si="10"/>
        <v>0.47726993462113732</v>
      </c>
      <c r="S44" s="72">
        <v>64.989999999999995</v>
      </c>
      <c r="T44" s="55">
        <v>0.17</v>
      </c>
      <c r="U44" s="71">
        <f t="shared" si="11"/>
        <v>64.989999999999995</v>
      </c>
      <c r="V44" s="71">
        <f t="shared" si="12"/>
        <v>13.751300000000001</v>
      </c>
      <c r="W44" s="71">
        <f t="shared" si="13"/>
        <v>2.8877730000000001</v>
      </c>
      <c r="X44" s="71">
        <f t="shared" si="14"/>
        <v>-4.4746557636319997</v>
      </c>
      <c r="Y44" s="71">
        <f t="shared" si="15"/>
        <v>0.68119783508799858</v>
      </c>
      <c r="Z44" s="71">
        <f t="shared" si="16"/>
        <v>0</v>
      </c>
      <c r="AA44" s="71">
        <f t="shared" si="17"/>
        <v>0</v>
      </c>
      <c r="AB44" s="73">
        <f t="shared" si="18"/>
        <v>-23.491942759067996</v>
      </c>
      <c r="AC44" s="56">
        <f t="shared" si="19"/>
        <v>-0.36147011477254959</v>
      </c>
      <c r="AD44" s="73">
        <f t="shared" si="20"/>
        <v>3.5762886342119913</v>
      </c>
      <c r="AE44" s="56">
        <f t="shared" si="21"/>
        <v>5.5028291032651049E-2</v>
      </c>
      <c r="AF44" s="74">
        <f t="shared" si="22"/>
        <v>100.1991130840992</v>
      </c>
      <c r="AG44" s="74">
        <f t="shared" si="23"/>
        <v>59.629951568299127</v>
      </c>
      <c r="AH44" s="75">
        <v>5</v>
      </c>
      <c r="AI44" s="76">
        <f t="shared" si="24"/>
        <v>76.033249462499995</v>
      </c>
      <c r="AJ44" s="76">
        <f t="shared" si="25"/>
        <v>39.744865462500002</v>
      </c>
      <c r="AK44" s="93"/>
      <c r="AL44" s="93"/>
      <c r="AM44" s="93"/>
      <c r="AN44" s="93"/>
      <c r="AO44" s="93"/>
      <c r="AP44" s="93"/>
    </row>
    <row r="45" spans="1:42" ht="21.75" customHeight="1" x14ac:dyDescent="0.25">
      <c r="A45" s="93">
        <v>11</v>
      </c>
      <c r="B45" s="105" t="s">
        <v>83</v>
      </c>
      <c r="C45" s="96"/>
      <c r="D45" s="93" t="s">
        <v>72</v>
      </c>
      <c r="E45" s="67" t="s">
        <v>73</v>
      </c>
      <c r="F45" s="57">
        <v>3.3</v>
      </c>
      <c r="G45" s="68">
        <f t="shared" si="0"/>
        <v>15.242475600000002</v>
      </c>
      <c r="H45" s="85">
        <v>9.0999999999999998E-2</v>
      </c>
      <c r="I45" s="70">
        <f t="shared" si="1"/>
        <v>3.2323200000000001</v>
      </c>
      <c r="J45" s="70">
        <f t="shared" si="2"/>
        <v>1.4545440000000001</v>
      </c>
      <c r="K45" s="70">
        <f t="shared" si="3"/>
        <v>1.2008617140000002</v>
      </c>
      <c r="L45" s="70">
        <f t="shared" si="4"/>
        <v>1.0853062740000001</v>
      </c>
      <c r="M45" s="70">
        <f t="shared" si="5"/>
        <v>4.1318880359400012</v>
      </c>
      <c r="N45" s="70">
        <f t="shared" si="6"/>
        <v>3.7342884335400002</v>
      </c>
      <c r="O45" s="70">
        <f t="shared" si="7"/>
        <v>23.807545349940007</v>
      </c>
      <c r="P45" s="70">
        <f t="shared" si="8"/>
        <v>21.516614307540003</v>
      </c>
      <c r="Q45" s="71">
        <f t="shared" si="9"/>
        <v>2.290931042400004</v>
      </c>
      <c r="R45" s="54">
        <f t="shared" si="10"/>
        <v>9.6227099800768712E-2</v>
      </c>
      <c r="S45" s="72">
        <v>84.99</v>
      </c>
      <c r="T45" s="55">
        <v>0.16</v>
      </c>
      <c r="U45" s="71">
        <f t="shared" si="11"/>
        <v>84.99</v>
      </c>
      <c r="V45" s="71">
        <f t="shared" si="12"/>
        <v>16.142400000000002</v>
      </c>
      <c r="W45" s="71">
        <f t="shared" si="13"/>
        <v>3.3899040000000005</v>
      </c>
      <c r="X45" s="71">
        <f t="shared" si="14"/>
        <v>5.2560241040095983</v>
      </c>
      <c r="Y45" s="71">
        <f t="shared" si="15"/>
        <v>5.6225730707935986</v>
      </c>
      <c r="Z45" s="71">
        <f t="shared" si="16"/>
        <v>0</v>
      </c>
      <c r="AA45" s="71">
        <f t="shared" si="17"/>
        <v>0</v>
      </c>
      <c r="AB45" s="73">
        <f t="shared" si="18"/>
        <v>27.59412654605039</v>
      </c>
      <c r="AC45" s="56">
        <f t="shared" si="19"/>
        <v>0.32467497995117534</v>
      </c>
      <c r="AD45" s="73">
        <f t="shared" si="20"/>
        <v>29.518508621666399</v>
      </c>
      <c r="AE45" s="56">
        <f t="shared" si="21"/>
        <v>0.34731743289406286</v>
      </c>
      <c r="AF45" s="74">
        <f t="shared" si="22"/>
        <v>44.253206039112108</v>
      </c>
      <c r="AG45" s="74">
        <f t="shared" si="23"/>
        <v>41.412269726612102</v>
      </c>
      <c r="AH45" s="75">
        <v>5</v>
      </c>
      <c r="AI45" s="76">
        <f t="shared" si="24"/>
        <v>26.810298817500005</v>
      </c>
      <c r="AJ45" s="76">
        <f t="shared" si="25"/>
        <v>24.230421517500002</v>
      </c>
      <c r="AK45" s="93"/>
      <c r="AL45" s="93"/>
      <c r="AM45" s="93"/>
      <c r="AN45" s="93"/>
      <c r="AO45" s="93"/>
      <c r="AP45" s="93"/>
    </row>
    <row r="46" spans="1:42" ht="21.75" customHeight="1" x14ac:dyDescent="0.25">
      <c r="A46" s="93">
        <v>12</v>
      </c>
      <c r="B46" s="105" t="s">
        <v>84</v>
      </c>
      <c r="C46" s="96"/>
      <c r="D46" s="93" t="s">
        <v>72</v>
      </c>
      <c r="E46" s="67" t="s">
        <v>73</v>
      </c>
      <c r="F46" s="57">
        <v>11.99</v>
      </c>
      <c r="G46" s="68">
        <f t="shared" si="0"/>
        <v>55.380994680000008</v>
      </c>
      <c r="H46" s="69">
        <v>0.34</v>
      </c>
      <c r="I46" s="70">
        <f t="shared" si="1"/>
        <v>12.076800000000002</v>
      </c>
      <c r="J46" s="70">
        <f t="shared" si="2"/>
        <v>5.4345600000000012</v>
      </c>
      <c r="K46" s="70">
        <f t="shared" si="3"/>
        <v>4.3847566542000003</v>
      </c>
      <c r="L46" s="70">
        <f t="shared" si="4"/>
        <v>3.9530110542000005</v>
      </c>
      <c r="M46" s="70">
        <f t="shared" si="5"/>
        <v>15.086935780182001</v>
      </c>
      <c r="N46" s="70">
        <f t="shared" si="6"/>
        <v>13.601398804182002</v>
      </c>
      <c r="O46" s="70">
        <f t="shared" si="7"/>
        <v>86.929487114382013</v>
      </c>
      <c r="P46" s="70">
        <f t="shared" si="8"/>
        <v>78.369964538382007</v>
      </c>
      <c r="Q46" s="71">
        <f t="shared" si="9"/>
        <v>8.5595225760000062</v>
      </c>
      <c r="R46" s="54">
        <f t="shared" si="10"/>
        <v>9.8465122251755188E-2</v>
      </c>
      <c r="S46" s="72">
        <v>169.99</v>
      </c>
      <c r="T46" s="55">
        <v>0.21</v>
      </c>
      <c r="U46" s="71">
        <f t="shared" si="11"/>
        <v>169.99</v>
      </c>
      <c r="V46" s="71">
        <f t="shared" si="12"/>
        <v>39.036900000000003</v>
      </c>
      <c r="W46" s="71">
        <f t="shared" si="13"/>
        <v>8.197749</v>
      </c>
      <c r="X46" s="71">
        <f t="shared" si="14"/>
        <v>4.3241382216988811</v>
      </c>
      <c r="Y46" s="71">
        <f t="shared" si="15"/>
        <v>5.693661833858882</v>
      </c>
      <c r="Z46" s="71">
        <f t="shared" si="16"/>
        <v>0</v>
      </c>
      <c r="AA46" s="71">
        <f t="shared" si="17"/>
        <v>0</v>
      </c>
      <c r="AB46" s="73">
        <f t="shared" si="18"/>
        <v>22.701725663919127</v>
      </c>
      <c r="AC46" s="56">
        <f t="shared" si="19"/>
        <v>0.13354741845943366</v>
      </c>
      <c r="AD46" s="73">
        <f t="shared" si="20"/>
        <v>29.891724627759146</v>
      </c>
      <c r="AE46" s="56">
        <f t="shared" si="21"/>
        <v>0.1758440180467036</v>
      </c>
      <c r="AF46" s="74">
        <f t="shared" si="22"/>
        <v>133.75744351036602</v>
      </c>
      <c r="AG46" s="74">
        <f t="shared" si="23"/>
        <v>122.28201439654377</v>
      </c>
      <c r="AH46" s="75">
        <v>5</v>
      </c>
      <c r="AI46" s="76">
        <f t="shared" si="24"/>
        <v>97.893566570250016</v>
      </c>
      <c r="AJ46" s="76">
        <f t="shared" si="25"/>
        <v>88.254464570250008</v>
      </c>
      <c r="AK46" s="93"/>
      <c r="AL46" s="93"/>
      <c r="AM46" s="93"/>
      <c r="AN46" s="93"/>
      <c r="AO46" s="93"/>
      <c r="AP46" s="93"/>
    </row>
    <row r="47" spans="1:42" ht="21.75" customHeight="1" x14ac:dyDescent="0.25">
      <c r="A47" s="93">
        <v>13</v>
      </c>
      <c r="B47" s="105" t="s">
        <v>85</v>
      </c>
      <c r="C47" s="96"/>
      <c r="D47" s="93" t="s">
        <v>72</v>
      </c>
      <c r="E47" s="67" t="s">
        <v>73</v>
      </c>
      <c r="F47" s="57">
        <v>1.05</v>
      </c>
      <c r="G47" s="68">
        <f t="shared" si="0"/>
        <v>4.8498786000000011</v>
      </c>
      <c r="H47" s="69">
        <v>0.52800000000000002</v>
      </c>
      <c r="I47" s="70">
        <f t="shared" si="1"/>
        <v>18.754560000000001</v>
      </c>
      <c r="J47" s="70">
        <f t="shared" si="2"/>
        <v>8.4395520000000008</v>
      </c>
      <c r="K47" s="70">
        <f t="shared" si="3"/>
        <v>1.5342885090000002</v>
      </c>
      <c r="L47" s="70">
        <f t="shared" si="4"/>
        <v>0.86381298900000025</v>
      </c>
      <c r="M47" s="70">
        <f t="shared" si="5"/>
        <v>5.2791326928900002</v>
      </c>
      <c r="N47" s="70">
        <f t="shared" si="6"/>
        <v>2.9721811536900002</v>
      </c>
      <c r="O47" s="70">
        <f t="shared" si="7"/>
        <v>30.417859801890003</v>
      </c>
      <c r="P47" s="70">
        <f t="shared" si="8"/>
        <v>17.125424742690001</v>
      </c>
      <c r="Q47" s="71">
        <f t="shared" si="9"/>
        <v>13.292435059200002</v>
      </c>
      <c r="R47" s="54">
        <f t="shared" si="10"/>
        <v>0.43699442188809356</v>
      </c>
      <c r="S47" s="72">
        <v>64.989999999999995</v>
      </c>
      <c r="T47" s="55">
        <v>0.22</v>
      </c>
      <c r="U47" s="71">
        <f t="shared" si="11"/>
        <v>64.989999999999995</v>
      </c>
      <c r="V47" s="71">
        <f t="shared" si="12"/>
        <v>17.7958</v>
      </c>
      <c r="W47" s="71">
        <f t="shared" si="13"/>
        <v>3.7371179999999997</v>
      </c>
      <c r="X47" s="71">
        <f t="shared" si="14"/>
        <v>0.6782755516975999</v>
      </c>
      <c r="Y47" s="71">
        <f t="shared" si="15"/>
        <v>2.8050651611696003</v>
      </c>
      <c r="Z47" s="71">
        <f t="shared" si="16"/>
        <v>0</v>
      </c>
      <c r="AA47" s="71">
        <f t="shared" si="17"/>
        <v>0</v>
      </c>
      <c r="AB47" s="73">
        <f t="shared" si="18"/>
        <v>3.5609466464123996</v>
      </c>
      <c r="AC47" s="56">
        <f t="shared" si="19"/>
        <v>5.4792224133134323E-2</v>
      </c>
      <c r="AD47" s="73">
        <f t="shared" si="20"/>
        <v>14.726592096140408</v>
      </c>
      <c r="AE47" s="56">
        <f t="shared" si="21"/>
        <v>0.2265978165277798</v>
      </c>
      <c r="AF47" s="74">
        <f t="shared" si="22"/>
        <v>59.212918781534484</v>
      </c>
      <c r="AG47" s="74">
        <f t="shared" si="23"/>
        <v>41.098398395598259</v>
      </c>
      <c r="AH47" s="75">
        <v>5</v>
      </c>
      <c r="AI47" s="76">
        <f t="shared" si="24"/>
        <v>34.254346623750003</v>
      </c>
      <c r="AJ47" s="76">
        <f t="shared" si="25"/>
        <v>19.285388223750001</v>
      </c>
      <c r="AK47" s="93"/>
      <c r="AL47" s="93"/>
      <c r="AM47" s="93"/>
      <c r="AN47" s="93"/>
      <c r="AO47" s="93"/>
      <c r="AP47" s="93"/>
    </row>
    <row r="48" spans="1:42" ht="21.75" customHeight="1" x14ac:dyDescent="0.25">
      <c r="A48" s="93">
        <v>14</v>
      </c>
      <c r="B48" s="105" t="s">
        <v>86</v>
      </c>
      <c r="C48" s="96"/>
      <c r="D48" s="93" t="s">
        <v>72</v>
      </c>
      <c r="E48" s="67" t="s">
        <v>73</v>
      </c>
      <c r="F48" s="57">
        <v>1.2</v>
      </c>
      <c r="G48" s="68">
        <f t="shared" si="0"/>
        <v>5.5427184</v>
      </c>
      <c r="H48" s="69">
        <v>0.9</v>
      </c>
      <c r="I48" s="70">
        <f t="shared" si="1"/>
        <v>31.968000000000004</v>
      </c>
      <c r="J48" s="70">
        <f t="shared" si="2"/>
        <v>14.385600000000002</v>
      </c>
      <c r="K48" s="70">
        <f t="shared" si="3"/>
        <v>2.4381966960000003</v>
      </c>
      <c r="L48" s="70">
        <f t="shared" si="4"/>
        <v>1.2953406960000002</v>
      </c>
      <c r="M48" s="70">
        <f t="shared" si="5"/>
        <v>8.3892721701599999</v>
      </c>
      <c r="N48" s="70">
        <f t="shared" si="6"/>
        <v>4.45696841016</v>
      </c>
      <c r="O48" s="70">
        <f t="shared" si="7"/>
        <v>48.338187266159999</v>
      </c>
      <c r="P48" s="70">
        <f t="shared" si="8"/>
        <v>25.68062750616</v>
      </c>
      <c r="Q48" s="71">
        <f t="shared" si="9"/>
        <v>22.657559759999998</v>
      </c>
      <c r="R48" s="54">
        <f t="shared" si="10"/>
        <v>0.46873002570913169</v>
      </c>
      <c r="S48" s="72">
        <v>64.989999999999995</v>
      </c>
      <c r="T48" s="55">
        <v>0.22</v>
      </c>
      <c r="U48" s="71">
        <f t="shared" si="11"/>
        <v>64.989999999999995</v>
      </c>
      <c r="V48" s="71">
        <f t="shared" si="12"/>
        <v>17.7958</v>
      </c>
      <c r="W48" s="71">
        <f t="shared" si="13"/>
        <v>3.7371179999999997</v>
      </c>
      <c r="X48" s="71">
        <f t="shared" si="14"/>
        <v>-2.1889768425856007</v>
      </c>
      <c r="Y48" s="71">
        <f t="shared" si="15"/>
        <v>1.4362327190143993</v>
      </c>
      <c r="Z48" s="71">
        <f t="shared" si="16"/>
        <v>0</v>
      </c>
      <c r="AA48" s="71">
        <f t="shared" si="17"/>
        <v>0</v>
      </c>
      <c r="AB48" s="73">
        <f t="shared" si="18"/>
        <v>-11.492128423574403</v>
      </c>
      <c r="AC48" s="56">
        <f t="shared" si="19"/>
        <v>-0.17682918023656569</v>
      </c>
      <c r="AD48" s="73">
        <f t="shared" si="20"/>
        <v>7.5402217748255964</v>
      </c>
      <c r="AE48" s="56">
        <f t="shared" si="21"/>
        <v>0.11602126134521615</v>
      </c>
      <c r="AF48" s="74">
        <f t="shared" si="22"/>
        <v>83.634188152303068</v>
      </c>
      <c r="AG48" s="74">
        <f t="shared" si="23"/>
        <v>52.757164767184513</v>
      </c>
      <c r="AH48" s="75">
        <v>5</v>
      </c>
      <c r="AI48" s="76">
        <f t="shared" si="24"/>
        <v>54.434895569999995</v>
      </c>
      <c r="AJ48" s="76">
        <f t="shared" si="25"/>
        <v>28.919625569999997</v>
      </c>
      <c r="AK48" s="93"/>
      <c r="AL48" s="93"/>
      <c r="AM48" s="93"/>
      <c r="AN48" s="93"/>
      <c r="AO48" s="93"/>
      <c r="AP48" s="93"/>
    </row>
    <row r="49" spans="1:42" ht="21.75" customHeight="1" x14ac:dyDescent="0.25">
      <c r="A49" s="93">
        <v>15</v>
      </c>
      <c r="B49" s="109" t="s">
        <v>87</v>
      </c>
      <c r="C49" s="96"/>
      <c r="D49" s="93" t="s">
        <v>72</v>
      </c>
      <c r="E49" s="67" t="s">
        <v>73</v>
      </c>
      <c r="F49" s="57">
        <v>0.75</v>
      </c>
      <c r="G49" s="68">
        <f t="shared" si="0"/>
        <v>3.4641990000000003</v>
      </c>
      <c r="H49" s="69">
        <v>7.0000000000000007E-2</v>
      </c>
      <c r="I49" s="70">
        <f t="shared" si="1"/>
        <v>2.4864000000000006</v>
      </c>
      <c r="J49" s="70">
        <f t="shared" si="2"/>
        <v>1.1188800000000003</v>
      </c>
      <c r="K49" s="70">
        <f t="shared" si="3"/>
        <v>0.38678893500000006</v>
      </c>
      <c r="L49" s="70">
        <f t="shared" si="4"/>
        <v>0.29790013500000007</v>
      </c>
      <c r="M49" s="70">
        <f t="shared" si="5"/>
        <v>1.3308514663500002</v>
      </c>
      <c r="N49" s="70">
        <f t="shared" si="6"/>
        <v>1.02500561835</v>
      </c>
      <c r="O49" s="70">
        <f t="shared" si="7"/>
        <v>7.668239401350001</v>
      </c>
      <c r="P49" s="70">
        <f t="shared" si="8"/>
        <v>5.9059847533500003</v>
      </c>
      <c r="Q49" s="71">
        <f t="shared" si="9"/>
        <v>1.7622546480000008</v>
      </c>
      <c r="R49" s="54">
        <f t="shared" si="10"/>
        <v>0.22981215840623781</v>
      </c>
      <c r="S49" s="72">
        <v>34.99</v>
      </c>
      <c r="T49" s="55">
        <v>0.17</v>
      </c>
      <c r="U49" s="71">
        <f t="shared" si="11"/>
        <v>34.99</v>
      </c>
      <c r="V49" s="71">
        <f t="shared" si="12"/>
        <v>8.6513000000000009</v>
      </c>
      <c r="W49" s="71">
        <f t="shared" si="13"/>
        <v>1.8167730000000002</v>
      </c>
      <c r="X49" s="71">
        <f t="shared" si="14"/>
        <v>1.2885900157840002</v>
      </c>
      <c r="Y49" s="71">
        <f t="shared" si="15"/>
        <v>1.5705507594639994</v>
      </c>
      <c r="Z49" s="71">
        <f t="shared" si="16"/>
        <v>0</v>
      </c>
      <c r="AA49" s="71">
        <f t="shared" si="17"/>
        <v>0</v>
      </c>
      <c r="AB49" s="73">
        <f t="shared" si="18"/>
        <v>6.7650975828660007</v>
      </c>
      <c r="AC49" s="56">
        <f t="shared" si="19"/>
        <v>0.19334374343715349</v>
      </c>
      <c r="AD49" s="73">
        <f t="shared" si="20"/>
        <v>8.2453914871859979</v>
      </c>
      <c r="AE49" s="56">
        <f t="shared" si="21"/>
        <v>0.23564994247459267</v>
      </c>
      <c r="AF49" s="74">
        <f t="shared" si="22"/>
        <v>24.85064761595115</v>
      </c>
      <c r="AG49" s="74">
        <f t="shared" si="23"/>
        <v>22.632021595555834</v>
      </c>
      <c r="AH49" s="75">
        <v>5</v>
      </c>
      <c r="AI49" s="76">
        <f t="shared" si="24"/>
        <v>8.6354047312500004</v>
      </c>
      <c r="AJ49" s="76">
        <f t="shared" si="25"/>
        <v>6.6508837312499995</v>
      </c>
      <c r="AK49" s="93"/>
      <c r="AL49" s="93"/>
      <c r="AM49" s="93"/>
      <c r="AN49" s="93"/>
      <c r="AO49" s="93"/>
      <c r="AP49" s="93"/>
    </row>
    <row r="50" spans="1:42" ht="21.75" customHeight="1" x14ac:dyDescent="0.25">
      <c r="A50" s="93">
        <v>16</v>
      </c>
      <c r="B50" s="105" t="s">
        <v>88</v>
      </c>
      <c r="C50" s="96"/>
      <c r="D50" s="93" t="s">
        <v>72</v>
      </c>
      <c r="E50" s="67" t="s">
        <v>73</v>
      </c>
      <c r="F50" s="57">
        <v>4.3499999999999996</v>
      </c>
      <c r="G50" s="68">
        <f t="shared" si="0"/>
        <v>20.092354199999999</v>
      </c>
      <c r="H50" s="69">
        <v>0.105</v>
      </c>
      <c r="I50" s="70">
        <f t="shared" si="1"/>
        <v>3.7296</v>
      </c>
      <c r="J50" s="70">
        <f t="shared" si="2"/>
        <v>1.67832</v>
      </c>
      <c r="K50" s="70">
        <f t="shared" si="3"/>
        <v>1.5484270230000001</v>
      </c>
      <c r="L50" s="70">
        <f t="shared" si="4"/>
        <v>1.4150938229999999</v>
      </c>
      <c r="M50" s="70">
        <f t="shared" si="5"/>
        <v>5.32778005683</v>
      </c>
      <c r="N50" s="70">
        <f t="shared" si="6"/>
        <v>4.8690112848299991</v>
      </c>
      <c r="O50" s="70">
        <f t="shared" si="7"/>
        <v>30.69816127983</v>
      </c>
      <c r="P50" s="70">
        <f t="shared" si="8"/>
        <v>28.054779307829996</v>
      </c>
      <c r="Q50" s="71">
        <f t="shared" si="9"/>
        <v>2.6433819720000038</v>
      </c>
      <c r="R50" s="54">
        <f t="shared" si="10"/>
        <v>8.6108804625273039E-2</v>
      </c>
      <c r="S50" s="72">
        <v>101.99</v>
      </c>
      <c r="T50" s="55">
        <v>0.2</v>
      </c>
      <c r="U50" s="71">
        <f t="shared" si="11"/>
        <v>101.99</v>
      </c>
      <c r="V50" s="71">
        <f t="shared" si="12"/>
        <v>23.578000000000003</v>
      </c>
      <c r="W50" s="71">
        <f t="shared" si="13"/>
        <v>4.9513800000000003</v>
      </c>
      <c r="X50" s="71">
        <f t="shared" si="14"/>
        <v>5.4339933952271986</v>
      </c>
      <c r="Y50" s="71">
        <f t="shared" si="15"/>
        <v>5.8569345107472008</v>
      </c>
      <c r="Z50" s="71">
        <f t="shared" si="16"/>
        <v>0</v>
      </c>
      <c r="AA50" s="71">
        <f t="shared" si="17"/>
        <v>0</v>
      </c>
      <c r="AB50" s="73">
        <f t="shared" si="18"/>
        <v>28.528465324942793</v>
      </c>
      <c r="AC50" s="56">
        <f t="shared" si="19"/>
        <v>0.27971825987785859</v>
      </c>
      <c r="AD50" s="73">
        <f t="shared" si="20"/>
        <v>30.748906181422811</v>
      </c>
      <c r="AE50" s="56">
        <f t="shared" si="21"/>
        <v>0.30148942231025405</v>
      </c>
      <c r="AF50" s="74">
        <f t="shared" si="22"/>
        <v>57.184645487902387</v>
      </c>
      <c r="AG50" s="74">
        <f t="shared" si="23"/>
        <v>53.697334179195238</v>
      </c>
      <c r="AH50" s="75">
        <v>5</v>
      </c>
      <c r="AI50" s="76">
        <f t="shared" si="24"/>
        <v>34.570001441249993</v>
      </c>
      <c r="AJ50" s="76">
        <f t="shared" si="25"/>
        <v>31.593219941249991</v>
      </c>
      <c r="AK50" s="93"/>
      <c r="AL50" s="93"/>
      <c r="AM50" s="93"/>
      <c r="AN50" s="93"/>
      <c r="AO50" s="93"/>
      <c r="AP50" s="93"/>
    </row>
    <row r="51" spans="1:42" ht="21.75" customHeight="1" x14ac:dyDescent="0.25">
      <c r="A51" s="93">
        <v>17</v>
      </c>
      <c r="B51" s="105" t="s">
        <v>89</v>
      </c>
      <c r="C51" s="96"/>
      <c r="D51" s="93" t="s">
        <v>72</v>
      </c>
      <c r="E51" s="67" t="s">
        <v>73</v>
      </c>
      <c r="F51" s="57">
        <v>5.8</v>
      </c>
      <c r="G51" s="68">
        <f t="shared" si="0"/>
        <v>26.789805600000001</v>
      </c>
      <c r="H51" s="69">
        <v>0.1008</v>
      </c>
      <c r="I51" s="70">
        <f t="shared" si="1"/>
        <v>3.5804160000000005</v>
      </c>
      <c r="J51" s="70">
        <f t="shared" si="2"/>
        <v>1.6111872000000003</v>
      </c>
      <c r="K51" s="70">
        <f t="shared" si="3"/>
        <v>1.9740644040000002</v>
      </c>
      <c r="L51" s="70">
        <f t="shared" si="4"/>
        <v>1.8460645320000002</v>
      </c>
      <c r="M51" s="70">
        <f t="shared" si="5"/>
        <v>6.7923000608400006</v>
      </c>
      <c r="N51" s="70">
        <f t="shared" si="6"/>
        <v>6.3518820397199995</v>
      </c>
      <c r="O51" s="70">
        <f t="shared" si="7"/>
        <v>39.136586064840003</v>
      </c>
      <c r="P51" s="70">
        <f t="shared" si="8"/>
        <v>36.59893937172</v>
      </c>
      <c r="Q51" s="71">
        <f t="shared" si="9"/>
        <v>2.5376466931200028</v>
      </c>
      <c r="R51" s="54">
        <f t="shared" si="10"/>
        <v>6.4840778112728703E-2</v>
      </c>
      <c r="S51" s="72">
        <v>122.99</v>
      </c>
      <c r="T51" s="55">
        <v>0.2</v>
      </c>
      <c r="U51" s="71">
        <f t="shared" si="11"/>
        <v>122.99</v>
      </c>
      <c r="V51" s="71">
        <f t="shared" si="12"/>
        <v>27.777999999999999</v>
      </c>
      <c r="W51" s="71">
        <f t="shared" si="13"/>
        <v>5.8333799999999991</v>
      </c>
      <c r="X51" s="71">
        <f t="shared" si="14"/>
        <v>6.6307254296255973</v>
      </c>
      <c r="Y51" s="71">
        <f t="shared" si="15"/>
        <v>7.0367489005247972</v>
      </c>
      <c r="Z51" s="71">
        <f t="shared" si="16"/>
        <v>0</v>
      </c>
      <c r="AA51" s="71">
        <f t="shared" si="17"/>
        <v>0</v>
      </c>
      <c r="AB51" s="73">
        <f t="shared" si="18"/>
        <v>34.811308505534384</v>
      </c>
      <c r="AC51" s="56">
        <f t="shared" si="19"/>
        <v>0.28304177986449619</v>
      </c>
      <c r="AD51" s="73">
        <f t="shared" si="20"/>
        <v>36.94293172775518</v>
      </c>
      <c r="AE51" s="56">
        <f t="shared" si="21"/>
        <v>0.3003734590434603</v>
      </c>
      <c r="AF51" s="74">
        <f t="shared" si="22"/>
        <v>68.317132011662281</v>
      </c>
      <c r="AG51" s="74">
        <f t="shared" si="23"/>
        <v>64.969313155303425</v>
      </c>
      <c r="AH51" s="75">
        <v>5</v>
      </c>
      <c r="AI51" s="76">
        <f t="shared" si="24"/>
        <v>44.072732055000003</v>
      </c>
      <c r="AJ51" s="76">
        <f t="shared" si="25"/>
        <v>41.215021815</v>
      </c>
      <c r="AK51" s="93"/>
      <c r="AL51" s="93"/>
      <c r="AM51" s="93"/>
      <c r="AN51" s="93"/>
      <c r="AO51" s="93"/>
      <c r="AP51" s="93"/>
    </row>
    <row r="52" spans="1:42" ht="21.75" customHeight="1" x14ac:dyDescent="0.25">
      <c r="A52" s="93">
        <v>18</v>
      </c>
      <c r="B52" s="105" t="s">
        <v>90</v>
      </c>
      <c r="C52" s="96"/>
      <c r="D52" s="93" t="s">
        <v>72</v>
      </c>
      <c r="E52" s="67" t="s">
        <v>73</v>
      </c>
      <c r="F52" s="57">
        <v>1.22</v>
      </c>
      <c r="G52" s="68">
        <f t="shared" si="0"/>
        <v>5.6350970399999998</v>
      </c>
      <c r="H52" s="69">
        <v>0.56159999999999999</v>
      </c>
      <c r="I52" s="70">
        <f t="shared" si="1"/>
        <v>19.948032000000001</v>
      </c>
      <c r="J52" s="70">
        <f t="shared" si="2"/>
        <v>8.9766144000000008</v>
      </c>
      <c r="K52" s="70">
        <f t="shared" si="3"/>
        <v>1.6629033876000003</v>
      </c>
      <c r="L52" s="70">
        <f t="shared" si="4"/>
        <v>0.94976124360000003</v>
      </c>
      <c r="M52" s="70">
        <f t="shared" si="5"/>
        <v>5.7216668097960008</v>
      </c>
      <c r="N52" s="70">
        <f t="shared" si="6"/>
        <v>3.2679092635559996</v>
      </c>
      <c r="O52" s="70">
        <f t="shared" si="7"/>
        <v>32.967699237396005</v>
      </c>
      <c r="P52" s="70">
        <f t="shared" si="8"/>
        <v>18.829381947156001</v>
      </c>
      <c r="Q52" s="71">
        <f t="shared" si="9"/>
        <v>14.138317290240003</v>
      </c>
      <c r="R52" s="54">
        <f t="shared" si="10"/>
        <v>0.4288536239193359</v>
      </c>
      <c r="S52" s="72">
        <v>62.99</v>
      </c>
      <c r="T52" s="55">
        <v>0.2</v>
      </c>
      <c r="U52" s="71">
        <f t="shared" si="11"/>
        <v>62.99</v>
      </c>
      <c r="V52" s="71">
        <f t="shared" si="12"/>
        <v>15.778</v>
      </c>
      <c r="W52" s="71">
        <f t="shared" si="13"/>
        <v>3.31338</v>
      </c>
      <c r="X52" s="71">
        <f t="shared" si="14"/>
        <v>0.34094732201663874</v>
      </c>
      <c r="Y52" s="71">
        <f t="shared" si="15"/>
        <v>2.6030780884550406</v>
      </c>
      <c r="Z52" s="71">
        <f t="shared" si="16"/>
        <v>0</v>
      </c>
      <c r="AA52" s="71">
        <f t="shared" si="17"/>
        <v>0</v>
      </c>
      <c r="AB52" s="73">
        <f t="shared" si="18"/>
        <v>1.7899734405873533</v>
      </c>
      <c r="AC52" s="56">
        <f t="shared" si="19"/>
        <v>2.8416787435900193E-2</v>
      </c>
      <c r="AD52" s="73">
        <f t="shared" si="20"/>
        <v>13.666159964388967</v>
      </c>
      <c r="AE52" s="56">
        <f t="shared" si="21"/>
        <v>0.21695761175407155</v>
      </c>
      <c r="AF52" s="74">
        <f t="shared" si="22"/>
        <v>60.178758888385232</v>
      </c>
      <c r="AG52" s="74">
        <f t="shared" si="23"/>
        <v>41.526625260100261</v>
      </c>
      <c r="AH52" s="75">
        <v>5</v>
      </c>
      <c r="AI52" s="76">
        <f t="shared" si="24"/>
        <v>37.125787429500001</v>
      </c>
      <c r="AJ52" s="76">
        <f t="shared" si="25"/>
        <v>21.204258949500002</v>
      </c>
      <c r="AK52" s="93"/>
      <c r="AL52" s="93"/>
      <c r="AM52" s="93"/>
      <c r="AN52" s="93"/>
      <c r="AO52" s="93"/>
      <c r="AP52" s="93"/>
    </row>
    <row r="53" spans="1:42" ht="21.75" customHeight="1" x14ac:dyDescent="0.25">
      <c r="A53" s="93">
        <v>19</v>
      </c>
      <c r="B53" s="105" t="s">
        <v>91</v>
      </c>
      <c r="C53" s="96"/>
      <c r="D53" s="93" t="s">
        <v>72</v>
      </c>
      <c r="E53" s="67" t="s">
        <v>73</v>
      </c>
      <c r="F53" s="57">
        <v>1.3</v>
      </c>
      <c r="G53" s="68">
        <f t="shared" si="0"/>
        <v>6.0046116000000014</v>
      </c>
      <c r="H53" s="69">
        <v>0.2</v>
      </c>
      <c r="I53" s="70">
        <f t="shared" si="1"/>
        <v>7.104000000000001</v>
      </c>
      <c r="J53" s="70">
        <f t="shared" si="2"/>
        <v>3.1968000000000005</v>
      </c>
      <c r="K53" s="70">
        <f t="shared" si="3"/>
        <v>0.85205975400000022</v>
      </c>
      <c r="L53" s="70">
        <f t="shared" si="4"/>
        <v>0.59809175400000014</v>
      </c>
      <c r="M53" s="70">
        <f t="shared" si="5"/>
        <v>2.9317409843400006</v>
      </c>
      <c r="N53" s="70">
        <f t="shared" si="6"/>
        <v>2.0578957043400004</v>
      </c>
      <c r="O53" s="70">
        <f t="shared" si="7"/>
        <v>16.892412338340005</v>
      </c>
      <c r="P53" s="70">
        <f t="shared" si="8"/>
        <v>11.857399058340002</v>
      </c>
      <c r="Q53" s="71">
        <f t="shared" si="9"/>
        <v>5.0350132800000029</v>
      </c>
      <c r="R53" s="54">
        <f t="shared" si="10"/>
        <v>0.29806360270831433</v>
      </c>
      <c r="S53" s="72">
        <v>52.99</v>
      </c>
      <c r="T53" s="55">
        <v>0.2</v>
      </c>
      <c r="U53" s="71">
        <f t="shared" si="11"/>
        <v>52.99</v>
      </c>
      <c r="V53" s="71">
        <f t="shared" si="12"/>
        <v>13.778</v>
      </c>
      <c r="W53" s="71">
        <f t="shared" si="13"/>
        <v>2.8933800000000001</v>
      </c>
      <c r="X53" s="71">
        <f t="shared" si="14"/>
        <v>1.7001932258655985</v>
      </c>
      <c r="Y53" s="71">
        <f t="shared" si="15"/>
        <v>2.505795350665601</v>
      </c>
      <c r="Z53" s="71">
        <f t="shared" si="16"/>
        <v>0</v>
      </c>
      <c r="AA53" s="71">
        <f t="shared" si="17"/>
        <v>0</v>
      </c>
      <c r="AB53" s="73">
        <f t="shared" si="18"/>
        <v>8.9260144357943911</v>
      </c>
      <c r="AC53" s="56">
        <f t="shared" si="19"/>
        <v>0.16844714919408174</v>
      </c>
      <c r="AD53" s="73">
        <f t="shared" si="20"/>
        <v>13.155425590994405</v>
      </c>
      <c r="AE53" s="56">
        <f t="shared" si="21"/>
        <v>0.24826241915445185</v>
      </c>
      <c r="AF53" s="74">
        <f t="shared" si="22"/>
        <v>38.971256383034309</v>
      </c>
      <c r="AG53" s="74">
        <f t="shared" si="23"/>
        <v>32.328758652163586</v>
      </c>
      <c r="AH53" s="75">
        <v>5</v>
      </c>
      <c r="AI53" s="76">
        <f t="shared" si="24"/>
        <v>19.022986867500006</v>
      </c>
      <c r="AJ53" s="76">
        <f t="shared" si="25"/>
        <v>13.352926867500001</v>
      </c>
      <c r="AK53" s="93"/>
      <c r="AL53" s="93"/>
      <c r="AM53" s="93"/>
      <c r="AN53" s="93"/>
      <c r="AO53" s="93"/>
      <c r="AP53" s="93"/>
    </row>
    <row r="54" spans="1:42" ht="21.75" customHeight="1" x14ac:dyDescent="0.25">
      <c r="A54" s="93">
        <v>20</v>
      </c>
      <c r="B54" s="105" t="s">
        <v>92</v>
      </c>
      <c r="C54" s="96"/>
      <c r="D54" s="93" t="s">
        <v>72</v>
      </c>
      <c r="E54" s="67" t="s">
        <v>73</v>
      </c>
      <c r="F54" s="57">
        <v>0.9</v>
      </c>
      <c r="G54" s="68">
        <f t="shared" si="0"/>
        <v>4.1570388000000005</v>
      </c>
      <c r="H54" s="69">
        <v>0.39200000000000002</v>
      </c>
      <c r="I54" s="70">
        <f t="shared" si="1"/>
        <v>13.923840000000002</v>
      </c>
      <c r="J54" s="70">
        <f t="shared" si="2"/>
        <v>6.2657280000000011</v>
      </c>
      <c r="K54" s="70">
        <f t="shared" si="3"/>
        <v>1.1752571220000001</v>
      </c>
      <c r="L54" s="70">
        <f t="shared" si="4"/>
        <v>0.67747984200000011</v>
      </c>
      <c r="M54" s="70">
        <f t="shared" si="5"/>
        <v>4.0437885436200007</v>
      </c>
      <c r="N54" s="70">
        <f t="shared" si="6"/>
        <v>2.3310517948200005</v>
      </c>
      <c r="O54" s="70">
        <f t="shared" si="7"/>
        <v>23.299924465620002</v>
      </c>
      <c r="P54" s="70">
        <f t="shared" si="8"/>
        <v>13.431298436820002</v>
      </c>
      <c r="Q54" s="71">
        <f t="shared" si="9"/>
        <v>9.8686260287999996</v>
      </c>
      <c r="R54" s="54">
        <f t="shared" si="10"/>
        <v>0.42354755455802284</v>
      </c>
      <c r="S54" s="72">
        <v>49.99</v>
      </c>
      <c r="T54" s="55">
        <v>0.2</v>
      </c>
      <c r="U54" s="71">
        <f t="shared" si="11"/>
        <v>49.99</v>
      </c>
      <c r="V54" s="71">
        <f t="shared" si="12"/>
        <v>13.178000000000001</v>
      </c>
      <c r="W54" s="71">
        <f t="shared" si="13"/>
        <v>2.7673800000000002</v>
      </c>
      <c r="X54" s="71">
        <f t="shared" si="14"/>
        <v>0.31115128550080046</v>
      </c>
      <c r="Y54" s="71">
        <f t="shared" si="15"/>
        <v>1.8901314501087996</v>
      </c>
      <c r="Z54" s="71">
        <f t="shared" si="16"/>
        <v>0</v>
      </c>
      <c r="AA54" s="71">
        <f t="shared" si="17"/>
        <v>0</v>
      </c>
      <c r="AB54" s="73">
        <f t="shared" si="18"/>
        <v>1.6335442488792022</v>
      </c>
      <c r="AC54" s="56">
        <f t="shared" si="19"/>
        <v>3.2677420461676376E-2</v>
      </c>
      <c r="AD54" s="73">
        <f t="shared" si="20"/>
        <v>9.9231901130712004</v>
      </c>
      <c r="AE54" s="56">
        <f t="shared" si="21"/>
        <v>0.19850350296201641</v>
      </c>
      <c r="AF54" s="74">
        <f t="shared" si="22"/>
        <v>47.424438608997356</v>
      </c>
      <c r="AG54" s="74">
        <f t="shared" si="23"/>
        <v>34.405143056490772</v>
      </c>
      <c r="AH54" s="75">
        <v>5</v>
      </c>
      <c r="AI54" s="76">
        <f t="shared" si="24"/>
        <v>26.238653677499997</v>
      </c>
      <c r="AJ54" s="76">
        <f t="shared" si="25"/>
        <v>15.125336077500002</v>
      </c>
      <c r="AK54" s="93"/>
      <c r="AL54" s="93"/>
      <c r="AM54" s="93"/>
      <c r="AN54" s="93"/>
      <c r="AO54" s="93"/>
      <c r="AP54" s="93"/>
    </row>
    <row r="55" spans="1:42" ht="21.75" customHeight="1" x14ac:dyDescent="0.25">
      <c r="A55" s="93">
        <v>21</v>
      </c>
      <c r="B55" s="105" t="s">
        <v>93</v>
      </c>
      <c r="C55" s="96"/>
      <c r="D55" s="93" t="s">
        <v>72</v>
      </c>
      <c r="E55" s="67" t="s">
        <v>73</v>
      </c>
      <c r="F55" s="57">
        <v>1.88</v>
      </c>
      <c r="G55" s="68">
        <f t="shared" si="0"/>
        <v>8.6835921600000017</v>
      </c>
      <c r="H55" s="69">
        <v>9.5000000000000001E-2</v>
      </c>
      <c r="I55" s="70">
        <f t="shared" si="1"/>
        <v>3.3744000000000005</v>
      </c>
      <c r="J55" s="70">
        <f t="shared" si="2"/>
        <v>1.5184800000000003</v>
      </c>
      <c r="K55" s="70">
        <f t="shared" si="3"/>
        <v>0.7837694904000001</v>
      </c>
      <c r="L55" s="70">
        <f t="shared" si="4"/>
        <v>0.66313469040000017</v>
      </c>
      <c r="M55" s="70">
        <f t="shared" si="5"/>
        <v>2.6967699465840003</v>
      </c>
      <c r="N55" s="70">
        <f t="shared" si="6"/>
        <v>2.2816934385840004</v>
      </c>
      <c r="O55" s="70">
        <f t="shared" si="7"/>
        <v>15.538531596984003</v>
      </c>
      <c r="P55" s="70">
        <f t="shared" si="8"/>
        <v>13.146900288984002</v>
      </c>
      <c r="Q55" s="71">
        <f t="shared" si="9"/>
        <v>2.3916313080000009</v>
      </c>
      <c r="R55" s="54">
        <f t="shared" si="10"/>
        <v>0.15391617239200461</v>
      </c>
      <c r="S55" s="72">
        <v>57.99</v>
      </c>
      <c r="T55" s="55">
        <v>0.21</v>
      </c>
      <c r="U55" s="71">
        <f t="shared" si="11"/>
        <v>57.99</v>
      </c>
      <c r="V55" s="71">
        <f t="shared" si="12"/>
        <v>15.5169</v>
      </c>
      <c r="W55" s="71">
        <f t="shared" si="13"/>
        <v>3.2585489999999999</v>
      </c>
      <c r="X55" s="71">
        <f t="shared" si="14"/>
        <v>2.3801631044825604</v>
      </c>
      <c r="Y55" s="71">
        <f t="shared" si="15"/>
        <v>2.7628241137625604</v>
      </c>
      <c r="Z55" s="71">
        <f t="shared" si="16"/>
        <v>0</v>
      </c>
      <c r="AA55" s="71">
        <f t="shared" si="17"/>
        <v>0</v>
      </c>
      <c r="AB55" s="73">
        <f t="shared" si="18"/>
        <v>12.495856298533441</v>
      </c>
      <c r="AC55" s="56">
        <f t="shared" si="19"/>
        <v>0.21548295048341853</v>
      </c>
      <c r="AD55" s="73">
        <f t="shared" si="20"/>
        <v>14.504826597253441</v>
      </c>
      <c r="AE55" s="56">
        <f t="shared" si="21"/>
        <v>0.25012634242547749</v>
      </c>
      <c r="AF55" s="74">
        <f t="shared" si="22"/>
        <v>38.046281803169329</v>
      </c>
      <c r="AG55" s="74">
        <f t="shared" si="23"/>
        <v>34.839911903718999</v>
      </c>
      <c r="AH55" s="75">
        <v>5</v>
      </c>
      <c r="AI55" s="76">
        <f t="shared" si="24"/>
        <v>17.498346393000002</v>
      </c>
      <c r="AJ55" s="76">
        <f t="shared" si="25"/>
        <v>14.805067893000002</v>
      </c>
      <c r="AK55" s="93"/>
      <c r="AL55" s="93"/>
      <c r="AM55" s="93"/>
      <c r="AN55" s="93"/>
      <c r="AO55" s="93"/>
      <c r="AP55" s="93"/>
    </row>
    <row r="56" spans="1:42" ht="21.75" customHeight="1" x14ac:dyDescent="0.25">
      <c r="A56" s="93">
        <v>22</v>
      </c>
      <c r="B56" s="105" t="s">
        <v>94</v>
      </c>
      <c r="C56" s="96"/>
      <c r="D56" s="93" t="s">
        <v>72</v>
      </c>
      <c r="E56" s="67" t="s">
        <v>73</v>
      </c>
      <c r="F56" s="57">
        <v>2.8</v>
      </c>
      <c r="G56" s="68">
        <f t="shared" si="0"/>
        <v>12.933009600000002</v>
      </c>
      <c r="H56" s="69">
        <v>9.0999999999999998E-2</v>
      </c>
      <c r="I56" s="70">
        <f t="shared" si="1"/>
        <v>3.2323200000000001</v>
      </c>
      <c r="J56" s="70">
        <f t="shared" si="2"/>
        <v>1.4545440000000001</v>
      </c>
      <c r="K56" s="70">
        <f t="shared" si="3"/>
        <v>1.0507464240000002</v>
      </c>
      <c r="L56" s="70">
        <f t="shared" si="4"/>
        <v>0.93519098400000022</v>
      </c>
      <c r="M56" s="70">
        <f t="shared" si="5"/>
        <v>3.6153759650400006</v>
      </c>
      <c r="N56" s="70">
        <f t="shared" si="6"/>
        <v>3.2177763626400004</v>
      </c>
      <c r="O56" s="70">
        <f t="shared" si="7"/>
        <v>20.831451989040005</v>
      </c>
      <c r="P56" s="70">
        <f t="shared" si="8"/>
        <v>18.540520946640001</v>
      </c>
      <c r="Q56" s="71">
        <f t="shared" si="9"/>
        <v>2.290931042400004</v>
      </c>
      <c r="R56" s="54">
        <f t="shared" si="10"/>
        <v>0.10997462124125224</v>
      </c>
      <c r="S56" s="72">
        <v>57.99</v>
      </c>
      <c r="T56" s="55">
        <v>0.16</v>
      </c>
      <c r="U56" s="71">
        <f t="shared" si="11"/>
        <v>57.99</v>
      </c>
      <c r="V56" s="71">
        <f t="shared" si="12"/>
        <v>11.8224</v>
      </c>
      <c r="W56" s="71">
        <f t="shared" si="13"/>
        <v>2.482704</v>
      </c>
      <c r="X56" s="71">
        <f t="shared" si="14"/>
        <v>2.2485510417535988</v>
      </c>
      <c r="Y56" s="71">
        <f t="shared" si="15"/>
        <v>2.6151000085375995</v>
      </c>
      <c r="Z56" s="71">
        <f t="shared" si="16"/>
        <v>0</v>
      </c>
      <c r="AA56" s="71">
        <f t="shared" si="17"/>
        <v>0</v>
      </c>
      <c r="AB56" s="73">
        <f t="shared" si="18"/>
        <v>11.804892969206394</v>
      </c>
      <c r="AC56" s="56">
        <f t="shared" si="19"/>
        <v>0.20356773528550429</v>
      </c>
      <c r="AD56" s="73">
        <f t="shared" si="20"/>
        <v>13.729275044822394</v>
      </c>
      <c r="AE56" s="56">
        <f t="shared" si="21"/>
        <v>0.23675245809316078</v>
      </c>
      <c r="AF56" s="74">
        <f t="shared" si="22"/>
        <v>40.562614073710328</v>
      </c>
      <c r="AG56" s="74">
        <f t="shared" si="23"/>
        <v>37.721677761210323</v>
      </c>
      <c r="AH56" s="75">
        <v>5</v>
      </c>
      <c r="AI56" s="76">
        <f t="shared" si="24"/>
        <v>23.458842330000003</v>
      </c>
      <c r="AJ56" s="76">
        <f t="shared" si="25"/>
        <v>20.87896503</v>
      </c>
      <c r="AK56" s="93"/>
      <c r="AL56" s="93"/>
      <c r="AM56" s="93"/>
      <c r="AN56" s="93"/>
      <c r="AO56" s="93"/>
      <c r="AP56" s="93"/>
    </row>
    <row r="57" spans="1:42" ht="21.75" customHeight="1" x14ac:dyDescent="0.25">
      <c r="A57" s="93">
        <v>23</v>
      </c>
      <c r="B57" s="105" t="s">
        <v>95</v>
      </c>
      <c r="C57" s="96"/>
      <c r="D57" s="93" t="s">
        <v>72</v>
      </c>
      <c r="E57" s="67" t="s">
        <v>73</v>
      </c>
      <c r="F57" s="57">
        <v>0.43</v>
      </c>
      <c r="G57" s="68">
        <f t="shared" si="0"/>
        <v>1.9861407600000005</v>
      </c>
      <c r="H57" s="69">
        <v>0.1</v>
      </c>
      <c r="I57" s="70">
        <f t="shared" si="1"/>
        <v>3.5520000000000005</v>
      </c>
      <c r="J57" s="70">
        <f t="shared" si="2"/>
        <v>1.5984000000000003</v>
      </c>
      <c r="K57" s="70">
        <f t="shared" si="3"/>
        <v>0.35997914940000009</v>
      </c>
      <c r="L57" s="70">
        <f t="shared" si="4"/>
        <v>0.23299514940000005</v>
      </c>
      <c r="M57" s="70">
        <f t="shared" si="5"/>
        <v>1.2386051809740002</v>
      </c>
      <c r="N57" s="70">
        <f t="shared" si="6"/>
        <v>0.80168254097400016</v>
      </c>
      <c r="O57" s="70">
        <f t="shared" si="7"/>
        <v>7.1367250903740009</v>
      </c>
      <c r="P57" s="70">
        <f t="shared" si="8"/>
        <v>4.6192184503740013</v>
      </c>
      <c r="Q57" s="71">
        <f t="shared" si="9"/>
        <v>2.5175066399999997</v>
      </c>
      <c r="R57" s="54">
        <f t="shared" si="10"/>
        <v>0.3527537642434353</v>
      </c>
      <c r="S57" s="72">
        <v>45.99</v>
      </c>
      <c r="T57" s="55">
        <v>0.2</v>
      </c>
      <c r="U57" s="71">
        <f t="shared" si="11"/>
        <v>45.99</v>
      </c>
      <c r="V57" s="71">
        <f t="shared" si="12"/>
        <v>12.378</v>
      </c>
      <c r="W57" s="71">
        <f t="shared" si="13"/>
        <v>2.59938</v>
      </c>
      <c r="X57" s="71">
        <f t="shared" si="14"/>
        <v>2.4121431855401601</v>
      </c>
      <c r="Y57" s="71">
        <f t="shared" si="15"/>
        <v>2.8149442479401592</v>
      </c>
      <c r="Z57" s="71">
        <f t="shared" si="16"/>
        <v>0</v>
      </c>
      <c r="AA57" s="71">
        <f t="shared" si="17"/>
        <v>0</v>
      </c>
      <c r="AB57" s="73">
        <f t="shared" si="18"/>
        <v>12.663751724085841</v>
      </c>
      <c r="AC57" s="56">
        <f t="shared" si="19"/>
        <v>0.27535881113472149</v>
      </c>
      <c r="AD57" s="73">
        <f t="shared" si="20"/>
        <v>14.778457301685833</v>
      </c>
      <c r="AE57" s="56">
        <f t="shared" si="21"/>
        <v>0.32134066757307744</v>
      </c>
      <c r="AF57" s="74">
        <f t="shared" si="22"/>
        <v>26.100956583606859</v>
      </c>
      <c r="AG57" s="74">
        <f t="shared" si="23"/>
        <v>22.779707718171508</v>
      </c>
      <c r="AH57" s="75">
        <v>5</v>
      </c>
      <c r="AI57" s="76">
        <f t="shared" si="24"/>
        <v>8.0368525792500005</v>
      </c>
      <c r="AJ57" s="76">
        <f t="shared" si="25"/>
        <v>5.2018225792500008</v>
      </c>
      <c r="AK57" s="93"/>
      <c r="AL57" s="93"/>
      <c r="AM57" s="93"/>
      <c r="AN57" s="93"/>
      <c r="AO57" s="93"/>
      <c r="AP57" s="93"/>
    </row>
    <row r="58" spans="1:42" ht="21.75" customHeight="1" x14ac:dyDescent="0.25">
      <c r="A58" s="93">
        <v>24</v>
      </c>
      <c r="B58" s="105" t="s">
        <v>96</v>
      </c>
      <c r="C58" s="96"/>
      <c r="D58" s="93" t="s">
        <v>72</v>
      </c>
      <c r="E58" s="67" t="s">
        <v>73</v>
      </c>
      <c r="F58" s="57">
        <v>4.8</v>
      </c>
      <c r="G58" s="68">
        <f t="shared" si="0"/>
        <v>22.1708736</v>
      </c>
      <c r="H58" s="69">
        <v>2.96</v>
      </c>
      <c r="I58" s="70">
        <f t="shared" si="1"/>
        <v>105.1392</v>
      </c>
      <c r="J58" s="70">
        <f t="shared" si="2"/>
        <v>47.312640000000002</v>
      </c>
      <c r="K58" s="70">
        <f t="shared" si="3"/>
        <v>8.2751547840000015</v>
      </c>
      <c r="L58" s="70">
        <f t="shared" si="4"/>
        <v>4.516428384000001</v>
      </c>
      <c r="M58" s="70">
        <f t="shared" si="5"/>
        <v>28.472897960640001</v>
      </c>
      <c r="N58" s="70">
        <f t="shared" si="6"/>
        <v>15.53998781664</v>
      </c>
      <c r="O58" s="70">
        <f t="shared" si="7"/>
        <v>164.05812634464002</v>
      </c>
      <c r="P58" s="70">
        <f t="shared" si="8"/>
        <v>89.53992980064001</v>
      </c>
      <c r="Q58" s="71">
        <f t="shared" si="9"/>
        <v>74.518196544000006</v>
      </c>
      <c r="R58" s="54">
        <f t="shared" si="10"/>
        <v>0.45421825912761082</v>
      </c>
      <c r="S58" s="72">
        <v>182.99</v>
      </c>
      <c r="T58" s="55">
        <v>0.22</v>
      </c>
      <c r="U58" s="71">
        <f t="shared" si="11"/>
        <v>182.99</v>
      </c>
      <c r="V58" s="71">
        <f t="shared" si="12"/>
        <v>43.755800000000001</v>
      </c>
      <c r="W58" s="71">
        <f t="shared" si="13"/>
        <v>9.1887179999999997</v>
      </c>
      <c r="X58" s="71">
        <f t="shared" si="14"/>
        <v>-6.8500230951424008</v>
      </c>
      <c r="Y58" s="71">
        <f t="shared" si="15"/>
        <v>5.0728883518976042</v>
      </c>
      <c r="Z58" s="71">
        <f t="shared" si="16"/>
        <v>0</v>
      </c>
      <c r="AA58" s="71">
        <f t="shared" si="17"/>
        <v>0</v>
      </c>
      <c r="AB58" s="73">
        <f t="shared" si="18"/>
        <v>-35.962621249497602</v>
      </c>
      <c r="AC58" s="56">
        <f t="shared" si="19"/>
        <v>-0.19652779523196678</v>
      </c>
      <c r="AD58" s="73">
        <f t="shared" si="20"/>
        <v>26.632663847462425</v>
      </c>
      <c r="AE58" s="56">
        <f t="shared" si="21"/>
        <v>0.14554163532139691</v>
      </c>
      <c r="AF58" s="74">
        <f t="shared" si="22"/>
        <v>241.33375081035706</v>
      </c>
      <c r="AG58" s="74">
        <f t="shared" si="23"/>
        <v>139.78265167707823</v>
      </c>
      <c r="AH58" s="75">
        <v>5</v>
      </c>
      <c r="AI58" s="76">
        <f t="shared" si="24"/>
        <v>184.75014227999998</v>
      </c>
      <c r="AJ58" s="76">
        <f t="shared" si="25"/>
        <v>100.83325428000001</v>
      </c>
      <c r="AK58" s="93"/>
      <c r="AL58" s="93"/>
      <c r="AM58" s="93"/>
      <c r="AN58" s="93"/>
      <c r="AO58" s="93"/>
      <c r="AP58" s="93"/>
    </row>
    <row r="59" spans="1:42" ht="21.75" customHeight="1" x14ac:dyDescent="0.25">
      <c r="A59" s="93">
        <v>25</v>
      </c>
      <c r="B59" s="105" t="s">
        <v>97</v>
      </c>
      <c r="C59" s="96"/>
      <c r="D59" s="93" t="s">
        <v>72</v>
      </c>
      <c r="E59" s="67" t="s">
        <v>73</v>
      </c>
      <c r="F59" s="57">
        <v>3.09</v>
      </c>
      <c r="G59" s="68">
        <f t="shared" si="0"/>
        <v>14.27249988</v>
      </c>
      <c r="H59" s="69">
        <v>0.87119999999999997</v>
      </c>
      <c r="I59" s="70">
        <f t="shared" si="1"/>
        <v>30.945024</v>
      </c>
      <c r="J59" s="70">
        <f t="shared" si="2"/>
        <v>13.925260800000002</v>
      </c>
      <c r="K59" s="70">
        <f t="shared" si="3"/>
        <v>2.9391390522000003</v>
      </c>
      <c r="L59" s="70">
        <f t="shared" si="4"/>
        <v>1.8328544442000001</v>
      </c>
      <c r="M59" s="70">
        <f t="shared" si="5"/>
        <v>10.112899215761999</v>
      </c>
      <c r="N59" s="70">
        <f t="shared" si="6"/>
        <v>6.3064291760820002</v>
      </c>
      <c r="O59" s="70">
        <f t="shared" si="7"/>
        <v>58.269562147961999</v>
      </c>
      <c r="P59" s="70">
        <f t="shared" si="8"/>
        <v>36.337044300282002</v>
      </c>
      <c r="Q59" s="71">
        <f t="shared" si="9"/>
        <v>21.932517847679996</v>
      </c>
      <c r="R59" s="54">
        <f t="shared" si="10"/>
        <v>0.37639750564775942</v>
      </c>
      <c r="S59" s="72">
        <v>101.99</v>
      </c>
      <c r="T59" s="55">
        <v>0.2</v>
      </c>
      <c r="U59" s="71">
        <f t="shared" si="11"/>
        <v>101.99</v>
      </c>
      <c r="V59" s="71">
        <f t="shared" si="12"/>
        <v>23.578000000000003</v>
      </c>
      <c r="W59" s="71">
        <f t="shared" si="13"/>
        <v>4.9513800000000003</v>
      </c>
      <c r="X59" s="71">
        <f t="shared" si="14"/>
        <v>1.0225692563260782</v>
      </c>
      <c r="Y59" s="71">
        <f t="shared" si="15"/>
        <v>4.5317721119548784</v>
      </c>
      <c r="Z59" s="71">
        <f t="shared" si="16"/>
        <v>0</v>
      </c>
      <c r="AA59" s="71">
        <f t="shared" si="17"/>
        <v>0</v>
      </c>
      <c r="AB59" s="73">
        <f t="shared" si="18"/>
        <v>5.3684885957119102</v>
      </c>
      <c r="AC59" s="56">
        <f t="shared" si="19"/>
        <v>5.26374016640054E-2</v>
      </c>
      <c r="AD59" s="73">
        <f t="shared" si="20"/>
        <v>23.791803587763113</v>
      </c>
      <c r="AE59" s="56">
        <f t="shared" si="21"/>
        <v>0.23327584653165129</v>
      </c>
      <c r="AF59" s="74">
        <f t="shared" si="22"/>
        <v>93.558525261163581</v>
      </c>
      <c r="AG59" s="74">
        <f t="shared" si="23"/>
        <v>64.623805145490778</v>
      </c>
      <c r="AH59" s="75">
        <v>5</v>
      </c>
      <c r="AI59" s="76">
        <f t="shared" si="24"/>
        <v>65.618876292749988</v>
      </c>
      <c r="AJ59" s="76">
        <f t="shared" si="25"/>
        <v>40.920094932749997</v>
      </c>
      <c r="AK59" s="93"/>
      <c r="AL59" s="93"/>
      <c r="AM59" s="93"/>
      <c r="AN59" s="93"/>
      <c r="AO59" s="93"/>
      <c r="AP59" s="93"/>
    </row>
    <row r="60" spans="1:42" ht="21.75" customHeight="1" x14ac:dyDescent="0.25">
      <c r="A60" s="93">
        <v>26</v>
      </c>
      <c r="B60" s="105" t="s">
        <v>98</v>
      </c>
      <c r="C60" s="96"/>
      <c r="D60" s="93" t="s">
        <v>72</v>
      </c>
      <c r="E60" s="67" t="s">
        <v>73</v>
      </c>
      <c r="F60" s="57">
        <v>1.9</v>
      </c>
      <c r="G60" s="68">
        <f t="shared" si="0"/>
        <v>8.7759707999999996</v>
      </c>
      <c r="H60" s="69">
        <v>0.59279999999999999</v>
      </c>
      <c r="I60" s="70">
        <f t="shared" si="1"/>
        <v>21.056256000000001</v>
      </c>
      <c r="J60" s="70">
        <f t="shared" si="2"/>
        <v>9.4753152000000007</v>
      </c>
      <c r="K60" s="70">
        <f t="shared" si="3"/>
        <v>1.9390947420000002</v>
      </c>
      <c r="L60" s="70">
        <f t="shared" si="4"/>
        <v>1.18633359</v>
      </c>
      <c r="M60" s="70">
        <f t="shared" si="5"/>
        <v>6.6719775238199999</v>
      </c>
      <c r="N60" s="70">
        <f t="shared" si="6"/>
        <v>4.0819001138999997</v>
      </c>
      <c r="O60" s="70">
        <f t="shared" si="7"/>
        <v>38.44329906582</v>
      </c>
      <c r="P60" s="70">
        <f t="shared" si="8"/>
        <v>23.519519703900002</v>
      </c>
      <c r="Q60" s="71">
        <f t="shared" si="9"/>
        <v>14.923779361919998</v>
      </c>
      <c r="R60" s="54">
        <f t="shared" si="10"/>
        <v>0.38820235839719475</v>
      </c>
      <c r="S60" s="72">
        <v>75.989999999999995</v>
      </c>
      <c r="T60" s="55">
        <v>0.2</v>
      </c>
      <c r="U60" s="71">
        <f t="shared" si="11"/>
        <v>75.989999999999995</v>
      </c>
      <c r="V60" s="71">
        <f t="shared" si="12"/>
        <v>18.378</v>
      </c>
      <c r="W60" s="71">
        <f t="shared" si="13"/>
        <v>3.8593799999999998</v>
      </c>
      <c r="X60" s="71">
        <f t="shared" si="14"/>
        <v>1.0414913494687994</v>
      </c>
      <c r="Y60" s="71">
        <f t="shared" si="15"/>
        <v>3.429296047375999</v>
      </c>
      <c r="Z60" s="71">
        <f t="shared" si="16"/>
        <v>0</v>
      </c>
      <c r="AA60" s="71">
        <f t="shared" si="17"/>
        <v>0</v>
      </c>
      <c r="AB60" s="73">
        <f t="shared" si="18"/>
        <v>5.4678295847111968</v>
      </c>
      <c r="AC60" s="56">
        <f t="shared" si="19"/>
        <v>7.195459382433475E-2</v>
      </c>
      <c r="AD60" s="73">
        <f t="shared" si="20"/>
        <v>18.003804248723995</v>
      </c>
      <c r="AE60" s="56">
        <f t="shared" si="21"/>
        <v>0.23692333529048554</v>
      </c>
      <c r="AF60" s="74">
        <f t="shared" si="22"/>
        <v>67.402505363878632</v>
      </c>
      <c r="AG60" s="74">
        <f t="shared" si="23"/>
        <v>47.714142089577841</v>
      </c>
      <c r="AH60" s="75">
        <v>5</v>
      </c>
      <c r="AI60" s="76">
        <f t="shared" si="24"/>
        <v>43.292003452499991</v>
      </c>
      <c r="AJ60" s="76">
        <f t="shared" si="25"/>
        <v>26.4859456125</v>
      </c>
      <c r="AK60" s="93"/>
      <c r="AL60" s="93"/>
      <c r="AM60" s="93"/>
      <c r="AN60" s="93"/>
      <c r="AO60" s="93"/>
      <c r="AP60" s="93"/>
    </row>
    <row r="61" spans="1:42" ht="21.75" customHeight="1" x14ac:dyDescent="0.25">
      <c r="A61" s="93">
        <v>27</v>
      </c>
      <c r="B61" s="105" t="s">
        <v>99</v>
      </c>
      <c r="C61" s="96"/>
      <c r="D61" s="93" t="s">
        <v>72</v>
      </c>
      <c r="E61" s="67" t="s">
        <v>73</v>
      </c>
      <c r="F61" s="57">
        <v>11.4</v>
      </c>
      <c r="G61" s="68">
        <f t="shared" si="0"/>
        <v>52.655824800000012</v>
      </c>
      <c r="H61" s="69">
        <v>0.30499999999999999</v>
      </c>
      <c r="I61" s="70">
        <f t="shared" si="1"/>
        <v>10.833600000000001</v>
      </c>
      <c r="J61" s="70">
        <f t="shared" si="2"/>
        <v>4.8751200000000008</v>
      </c>
      <c r="K61" s="70">
        <f t="shared" si="3"/>
        <v>4.126812612000001</v>
      </c>
      <c r="L61" s="70">
        <f t="shared" si="4"/>
        <v>3.739511412000001</v>
      </c>
      <c r="M61" s="70">
        <f t="shared" si="5"/>
        <v>14.199409856520001</v>
      </c>
      <c r="N61" s="70">
        <f t="shared" si="6"/>
        <v>12.866795804520002</v>
      </c>
      <c r="O61" s="70">
        <f t="shared" si="7"/>
        <v>81.81564726852001</v>
      </c>
      <c r="P61" s="70">
        <f t="shared" si="8"/>
        <v>74.137252016520023</v>
      </c>
      <c r="Q61" s="71">
        <f t="shared" si="9"/>
        <v>7.6783952519999872</v>
      </c>
      <c r="R61" s="54">
        <f t="shared" si="10"/>
        <v>9.3849960348041939E-2</v>
      </c>
      <c r="S61" s="72">
        <v>218.99</v>
      </c>
      <c r="T61" s="55">
        <v>0.2</v>
      </c>
      <c r="U61" s="71">
        <f t="shared" si="11"/>
        <v>218.99</v>
      </c>
      <c r="V61" s="71">
        <f t="shared" si="12"/>
        <v>46.978000000000009</v>
      </c>
      <c r="W61" s="71">
        <f t="shared" si="13"/>
        <v>9.8653800000000018</v>
      </c>
      <c r="X61" s="71">
        <f t="shared" si="14"/>
        <v>11.4449556370368</v>
      </c>
      <c r="Y61" s="71">
        <f t="shared" si="15"/>
        <v>12.673498877356801</v>
      </c>
      <c r="Z61" s="71">
        <f t="shared" si="16"/>
        <v>0</v>
      </c>
      <c r="AA61" s="71">
        <f t="shared" si="17"/>
        <v>0</v>
      </c>
      <c r="AB61" s="73">
        <f t="shared" si="18"/>
        <v>60.086017094443207</v>
      </c>
      <c r="AC61" s="56">
        <f t="shared" si="19"/>
        <v>0.27437790353186542</v>
      </c>
      <c r="AD61" s="73">
        <f t="shared" si="20"/>
        <v>66.535869106123215</v>
      </c>
      <c r="AE61" s="56">
        <f t="shared" si="21"/>
        <v>0.30383062745387102</v>
      </c>
      <c r="AF61" s="74">
        <f t="shared" si="22"/>
        <v>124.62196209567284</v>
      </c>
      <c r="AG61" s="74">
        <f t="shared" si="23"/>
        <v>114.49215305609502</v>
      </c>
      <c r="AH61" s="75">
        <v>5</v>
      </c>
      <c r="AI61" s="76">
        <f t="shared" si="24"/>
        <v>92.134737915000002</v>
      </c>
      <c r="AJ61" s="76">
        <f t="shared" si="25"/>
        <v>83.487896415000023</v>
      </c>
      <c r="AK61" s="93"/>
      <c r="AL61" s="93"/>
      <c r="AM61" s="93"/>
      <c r="AN61" s="93"/>
      <c r="AO61" s="93"/>
      <c r="AP61" s="93"/>
    </row>
    <row r="62" spans="1:42" ht="21.75" customHeight="1" x14ac:dyDescent="0.25">
      <c r="A62" s="93">
        <v>28</v>
      </c>
      <c r="B62" s="105" t="s">
        <v>100</v>
      </c>
      <c r="C62" s="96"/>
      <c r="D62" s="93" t="s">
        <v>72</v>
      </c>
      <c r="E62" s="67" t="s">
        <v>73</v>
      </c>
      <c r="F62" s="57">
        <v>0.68</v>
      </c>
      <c r="G62" s="68">
        <f t="shared" si="0"/>
        <v>3.1408737600000007</v>
      </c>
      <c r="H62" s="69">
        <v>0.31359999999999999</v>
      </c>
      <c r="I62" s="70">
        <f t="shared" si="1"/>
        <v>11.139072000000001</v>
      </c>
      <c r="J62" s="70">
        <f t="shared" si="2"/>
        <v>5.0125824000000003</v>
      </c>
      <c r="K62" s="70">
        <f t="shared" si="3"/>
        <v>0.92819647440000008</v>
      </c>
      <c r="L62" s="70">
        <f t="shared" si="4"/>
        <v>0.52997465040000014</v>
      </c>
      <c r="M62" s="70">
        <f t="shared" si="5"/>
        <v>3.193709869224</v>
      </c>
      <c r="N62" s="70">
        <f t="shared" si="6"/>
        <v>1.8235204701840002</v>
      </c>
      <c r="O62" s="70">
        <f t="shared" si="7"/>
        <v>18.401852103624002</v>
      </c>
      <c r="P62" s="70">
        <f t="shared" si="8"/>
        <v>10.506951280584001</v>
      </c>
      <c r="Q62" s="71">
        <f t="shared" si="9"/>
        <v>7.8949008230400004</v>
      </c>
      <c r="R62" s="54">
        <f t="shared" si="10"/>
        <v>0.42902751193643185</v>
      </c>
      <c r="S62" s="72">
        <v>51.99</v>
      </c>
      <c r="T62" s="55">
        <v>0.2</v>
      </c>
      <c r="U62" s="71">
        <f t="shared" si="11"/>
        <v>51.99</v>
      </c>
      <c r="V62" s="71">
        <f t="shared" si="12"/>
        <v>13.578000000000001</v>
      </c>
      <c r="W62" s="71">
        <f t="shared" si="13"/>
        <v>2.8513800000000002</v>
      </c>
      <c r="X62" s="71">
        <f t="shared" si="14"/>
        <v>1.3374028634201591</v>
      </c>
      <c r="Y62" s="71">
        <f t="shared" si="15"/>
        <v>2.6005869951065597</v>
      </c>
      <c r="Z62" s="71">
        <f t="shared" si="16"/>
        <v>0</v>
      </c>
      <c r="AA62" s="71">
        <f t="shared" si="17"/>
        <v>0</v>
      </c>
      <c r="AB62" s="73">
        <f t="shared" si="18"/>
        <v>7.0213650329558348</v>
      </c>
      <c r="AC62" s="56">
        <f t="shared" si="19"/>
        <v>0.13505222221496124</v>
      </c>
      <c r="AD62" s="73">
        <f t="shared" si="20"/>
        <v>13.653081724309438</v>
      </c>
      <c r="AE62" s="56">
        <f t="shared" si="21"/>
        <v>0.26260976580706746</v>
      </c>
      <c r="AF62" s="74">
        <f t="shared" si="22"/>
        <v>40.962601719820576</v>
      </c>
      <c r="AG62" s="74">
        <f t="shared" si="23"/>
        <v>30.547165277815306</v>
      </c>
      <c r="AH62" s="75">
        <v>5</v>
      </c>
      <c r="AI62" s="76">
        <f t="shared" si="24"/>
        <v>20.722806423000002</v>
      </c>
      <c r="AJ62" s="76">
        <f t="shared" si="25"/>
        <v>11.832152343000001</v>
      </c>
      <c r="AK62" s="93"/>
      <c r="AL62" s="93"/>
      <c r="AM62" s="93"/>
      <c r="AN62" s="93"/>
      <c r="AO62" s="93"/>
      <c r="AP62" s="93"/>
    </row>
    <row r="63" spans="1:42" ht="21.75" customHeight="1" x14ac:dyDescent="0.25">
      <c r="A63" s="93">
        <v>29</v>
      </c>
      <c r="B63" s="105" t="s">
        <v>101</v>
      </c>
      <c r="C63" s="96"/>
      <c r="D63" s="93" t="s">
        <v>72</v>
      </c>
      <c r="E63" s="67" t="s">
        <v>73</v>
      </c>
      <c r="F63" s="57">
        <v>6.35</v>
      </c>
      <c r="G63" s="68">
        <f t="shared" si="0"/>
        <v>29.330218200000001</v>
      </c>
      <c r="H63" s="69">
        <v>2.0790000000000002</v>
      </c>
      <c r="I63" s="70">
        <f t="shared" si="1"/>
        <v>73.846080000000015</v>
      </c>
      <c r="J63" s="70">
        <f t="shared" si="2"/>
        <v>33.230736000000007</v>
      </c>
      <c r="K63" s="70">
        <f t="shared" si="3"/>
        <v>6.7064593830000012</v>
      </c>
      <c r="L63" s="70">
        <f t="shared" si="4"/>
        <v>4.0664620230000006</v>
      </c>
      <c r="M63" s="70">
        <f t="shared" si="5"/>
        <v>23.075379092430001</v>
      </c>
      <c r="N63" s="70">
        <f t="shared" si="6"/>
        <v>13.991757406830002</v>
      </c>
      <c r="O63" s="70">
        <f t="shared" si="7"/>
        <v>132.95813667543001</v>
      </c>
      <c r="P63" s="70">
        <f t="shared" si="8"/>
        <v>80.619173629830016</v>
      </c>
      <c r="Q63" s="71">
        <f t="shared" si="9"/>
        <v>52.338963045599996</v>
      </c>
      <c r="R63" s="54">
        <f t="shared" si="10"/>
        <v>0.39364994391706132</v>
      </c>
      <c r="S63" s="72">
        <v>192.99</v>
      </c>
      <c r="T63" s="55">
        <v>0.2</v>
      </c>
      <c r="U63" s="71">
        <f t="shared" si="11"/>
        <v>192.99</v>
      </c>
      <c r="V63" s="71">
        <f t="shared" si="12"/>
        <v>41.778000000000006</v>
      </c>
      <c r="W63" s="71">
        <f t="shared" si="13"/>
        <v>8.7733800000000013</v>
      </c>
      <c r="X63" s="71">
        <f t="shared" si="14"/>
        <v>0.10887733193120312</v>
      </c>
      <c r="Y63" s="71">
        <f t="shared" si="15"/>
        <v>8.4831114192272032</v>
      </c>
      <c r="Z63" s="71">
        <f t="shared" si="16"/>
        <v>0</v>
      </c>
      <c r="AA63" s="71">
        <f t="shared" si="17"/>
        <v>0</v>
      </c>
      <c r="AB63" s="73">
        <f t="shared" si="18"/>
        <v>0.5716059926388164</v>
      </c>
      <c r="AC63" s="56">
        <f t="shared" si="19"/>
        <v>2.9618425443744046E-3</v>
      </c>
      <c r="AD63" s="73">
        <f t="shared" si="20"/>
        <v>44.536334950942802</v>
      </c>
      <c r="AE63" s="56">
        <f t="shared" si="21"/>
        <v>0.23077016918463547</v>
      </c>
      <c r="AF63" s="74">
        <f t="shared" si="22"/>
        <v>192.09226474331135</v>
      </c>
      <c r="AG63" s="74">
        <f t="shared" si="23"/>
        <v>123.04350083091032</v>
      </c>
      <c r="AH63" s="75">
        <v>5</v>
      </c>
      <c r="AI63" s="76">
        <f t="shared" si="24"/>
        <v>149.72763139125001</v>
      </c>
      <c r="AJ63" s="76">
        <f t="shared" si="25"/>
        <v>90.787357691250008</v>
      </c>
      <c r="AK63" s="93"/>
      <c r="AL63" s="93"/>
      <c r="AM63" s="93"/>
      <c r="AN63" s="93"/>
      <c r="AO63" s="93"/>
      <c r="AP63" s="93"/>
    </row>
    <row r="64" spans="1:42" ht="21.75" customHeight="1" x14ac:dyDescent="0.25">
      <c r="A64" s="93">
        <v>30</v>
      </c>
      <c r="B64" s="105" t="s">
        <v>102</v>
      </c>
      <c r="C64" s="96"/>
      <c r="D64" s="93" t="s">
        <v>72</v>
      </c>
      <c r="E64" s="67" t="s">
        <v>73</v>
      </c>
      <c r="F64" s="57">
        <v>6.6</v>
      </c>
      <c r="G64" s="68">
        <f t="shared" si="0"/>
        <v>30.484951200000005</v>
      </c>
      <c r="H64" s="69">
        <v>2.2200000000000002</v>
      </c>
      <c r="I64" s="70">
        <f t="shared" si="1"/>
        <v>78.854400000000012</v>
      </c>
      <c r="J64" s="70">
        <f t="shared" si="2"/>
        <v>35.484480000000005</v>
      </c>
      <c r="K64" s="70">
        <f t="shared" si="3"/>
        <v>7.1070578280000012</v>
      </c>
      <c r="L64" s="70">
        <f t="shared" si="4"/>
        <v>4.2880130279999999</v>
      </c>
      <c r="M64" s="70">
        <f t="shared" si="5"/>
        <v>24.453745895880001</v>
      </c>
      <c r="N64" s="70">
        <f t="shared" si="6"/>
        <v>14.754063287879999</v>
      </c>
      <c r="O64" s="70">
        <f t="shared" si="7"/>
        <v>140.90015492388</v>
      </c>
      <c r="P64" s="70">
        <f t="shared" si="8"/>
        <v>85.011507515879998</v>
      </c>
      <c r="Q64" s="71">
        <f t="shared" si="9"/>
        <v>55.888647407999997</v>
      </c>
      <c r="R64" s="54">
        <f t="shared" si="10"/>
        <v>0.39665426512975321</v>
      </c>
      <c r="S64" s="72">
        <v>193.99</v>
      </c>
      <c r="T64" s="55">
        <v>0.2</v>
      </c>
      <c r="U64" s="71">
        <f t="shared" si="11"/>
        <v>193.99</v>
      </c>
      <c r="V64" s="71">
        <f t="shared" si="12"/>
        <v>41.978000000000009</v>
      </c>
      <c r="W64" s="71">
        <f t="shared" si="13"/>
        <v>8.8153800000000011</v>
      </c>
      <c r="X64" s="71">
        <f t="shared" si="14"/>
        <v>-1.0405655878207971</v>
      </c>
      <c r="Y64" s="71">
        <f t="shared" si="15"/>
        <v>7.9016179974592022</v>
      </c>
      <c r="Z64" s="71">
        <f t="shared" si="16"/>
        <v>0</v>
      </c>
      <c r="AA64" s="71">
        <f t="shared" si="17"/>
        <v>0</v>
      </c>
      <c r="AB64" s="73">
        <f t="shared" si="18"/>
        <v>-5.4629693360591851</v>
      </c>
      <c r="AC64" s="56">
        <f t="shared" si="19"/>
        <v>-2.8161087355323394E-2</v>
      </c>
      <c r="AD64" s="73">
        <f t="shared" si="20"/>
        <v>41.483494486660817</v>
      </c>
      <c r="AE64" s="56">
        <f t="shared" si="21"/>
        <v>0.21384346866673959</v>
      </c>
      <c r="AF64" s="74">
        <f t="shared" si="22"/>
        <v>202.56986137715037</v>
      </c>
      <c r="AG64" s="74">
        <f t="shared" si="23"/>
        <v>128.8381365644855</v>
      </c>
      <c r="AH64" s="75">
        <v>5</v>
      </c>
      <c r="AI64" s="76">
        <f t="shared" si="24"/>
        <v>158.67134563499999</v>
      </c>
      <c r="AJ64" s="76">
        <f t="shared" si="25"/>
        <v>95.733679634999987</v>
      </c>
      <c r="AK64" s="93"/>
      <c r="AL64" s="93"/>
      <c r="AM64" s="93"/>
      <c r="AN64" s="93"/>
      <c r="AO64" s="93"/>
      <c r="AP64" s="93"/>
    </row>
    <row r="65" spans="1:42" ht="21.75" customHeight="1" x14ac:dyDescent="0.25">
      <c r="A65" s="93">
        <v>31</v>
      </c>
      <c r="B65" s="105" t="s">
        <v>103</v>
      </c>
      <c r="C65" s="96"/>
      <c r="D65" s="93" t="s">
        <v>72</v>
      </c>
      <c r="E65" s="67" t="s">
        <v>73</v>
      </c>
      <c r="F65" s="57">
        <v>1.1299999999999999</v>
      </c>
      <c r="G65" s="68">
        <f t="shared" si="0"/>
        <v>5.2193931600000001</v>
      </c>
      <c r="H65" s="69">
        <v>0.11</v>
      </c>
      <c r="I65" s="70">
        <f t="shared" si="1"/>
        <v>3.9072000000000005</v>
      </c>
      <c r="J65" s="70">
        <f t="shared" si="2"/>
        <v>1.7582400000000002</v>
      </c>
      <c r="K65" s="70">
        <f t="shared" si="3"/>
        <v>0.59322855540000008</v>
      </c>
      <c r="L65" s="70">
        <f t="shared" si="4"/>
        <v>0.45354615539999998</v>
      </c>
      <c r="M65" s="70">
        <f t="shared" si="5"/>
        <v>2.041162560234</v>
      </c>
      <c r="N65" s="70">
        <f t="shared" si="6"/>
        <v>1.5605476562339999</v>
      </c>
      <c r="O65" s="70">
        <f t="shared" si="7"/>
        <v>11.760984275634</v>
      </c>
      <c r="P65" s="70">
        <f t="shared" si="8"/>
        <v>8.9917269716339998</v>
      </c>
      <c r="Q65" s="71">
        <f t="shared" si="9"/>
        <v>2.7692573039999999</v>
      </c>
      <c r="R65" s="54">
        <f t="shared" si="10"/>
        <v>0.23546135587794736</v>
      </c>
      <c r="S65" s="72">
        <v>56.99</v>
      </c>
      <c r="T65" s="55">
        <v>0.2</v>
      </c>
      <c r="U65" s="71">
        <f t="shared" si="11"/>
        <v>56.99</v>
      </c>
      <c r="V65" s="71">
        <f t="shared" si="12"/>
        <v>14.578000000000001</v>
      </c>
      <c r="W65" s="71">
        <f t="shared" si="13"/>
        <v>3.0613800000000002</v>
      </c>
      <c r="X65" s="71">
        <f t="shared" si="14"/>
        <v>3.006341715898559</v>
      </c>
      <c r="Y65" s="71">
        <f t="shared" si="15"/>
        <v>3.4494228845385599</v>
      </c>
      <c r="Z65" s="71">
        <f t="shared" si="16"/>
        <v>0</v>
      </c>
      <c r="AA65" s="71">
        <f t="shared" si="17"/>
        <v>0</v>
      </c>
      <c r="AB65" s="73">
        <f t="shared" si="18"/>
        <v>15.783294008467434</v>
      </c>
      <c r="AC65" s="56">
        <f t="shared" si="19"/>
        <v>0.27694848233843539</v>
      </c>
      <c r="AD65" s="73">
        <f t="shared" si="20"/>
        <v>18.109470143827437</v>
      </c>
      <c r="AE65" s="56">
        <f t="shared" si="21"/>
        <v>0.31776575090063935</v>
      </c>
      <c r="AF65" s="74">
        <f t="shared" si="22"/>
        <v>32.201562368910295</v>
      </c>
      <c r="AG65" s="74">
        <f t="shared" si="23"/>
        <v>28.548188616931395</v>
      </c>
      <c r="AH65" s="75">
        <v>5</v>
      </c>
      <c r="AI65" s="76">
        <f t="shared" si="24"/>
        <v>13.244351661749999</v>
      </c>
      <c r="AJ65" s="76">
        <f t="shared" si="25"/>
        <v>10.125818661749999</v>
      </c>
      <c r="AK65" s="93"/>
      <c r="AL65" s="93"/>
      <c r="AM65" s="93"/>
      <c r="AN65" s="93"/>
      <c r="AO65" s="93"/>
      <c r="AP65" s="93"/>
    </row>
    <row r="66" spans="1:42" ht="21.75" customHeight="1" x14ac:dyDescent="0.25">
      <c r="A66" s="93">
        <v>32</v>
      </c>
      <c r="B66" s="105" t="s">
        <v>104</v>
      </c>
      <c r="C66" s="96"/>
      <c r="D66" s="93" t="s">
        <v>72</v>
      </c>
      <c r="E66" s="67" t="s">
        <v>73</v>
      </c>
      <c r="F66" s="57">
        <v>1.1299999999999999</v>
      </c>
      <c r="G66" s="68">
        <f t="shared" si="0"/>
        <v>5.2193931600000001</v>
      </c>
      <c r="H66" s="69">
        <v>0.11</v>
      </c>
      <c r="I66" s="70">
        <f t="shared" si="1"/>
        <v>3.9072000000000005</v>
      </c>
      <c r="J66" s="70">
        <f t="shared" si="2"/>
        <v>1.7582400000000002</v>
      </c>
      <c r="K66" s="70">
        <f t="shared" si="3"/>
        <v>0.59322855540000008</v>
      </c>
      <c r="L66" s="70">
        <f t="shared" si="4"/>
        <v>0.45354615539999998</v>
      </c>
      <c r="M66" s="70">
        <f t="shared" si="5"/>
        <v>2.041162560234</v>
      </c>
      <c r="N66" s="70">
        <f t="shared" si="6"/>
        <v>1.5605476562339999</v>
      </c>
      <c r="O66" s="70">
        <f t="shared" si="7"/>
        <v>11.760984275634</v>
      </c>
      <c r="P66" s="70">
        <f t="shared" si="8"/>
        <v>8.9917269716339998</v>
      </c>
      <c r="Q66" s="71">
        <f t="shared" si="9"/>
        <v>2.7692573039999999</v>
      </c>
      <c r="R66" s="54">
        <f t="shared" si="10"/>
        <v>0.23546135587794736</v>
      </c>
      <c r="S66" s="72">
        <v>56.99</v>
      </c>
      <c r="T66" s="55">
        <v>0.2</v>
      </c>
      <c r="U66" s="71">
        <f t="shared" si="11"/>
        <v>56.99</v>
      </c>
      <c r="V66" s="71">
        <f t="shared" si="12"/>
        <v>14.578000000000001</v>
      </c>
      <c r="W66" s="71">
        <f t="shared" si="13"/>
        <v>3.0613800000000002</v>
      </c>
      <c r="X66" s="71">
        <f t="shared" si="14"/>
        <v>3.006341715898559</v>
      </c>
      <c r="Y66" s="71">
        <f t="shared" si="15"/>
        <v>3.4494228845385599</v>
      </c>
      <c r="Z66" s="71">
        <f t="shared" si="16"/>
        <v>0</v>
      </c>
      <c r="AA66" s="71">
        <f t="shared" si="17"/>
        <v>0</v>
      </c>
      <c r="AB66" s="73">
        <f t="shared" si="18"/>
        <v>15.783294008467434</v>
      </c>
      <c r="AC66" s="56">
        <f t="shared" si="19"/>
        <v>0.27694848233843539</v>
      </c>
      <c r="AD66" s="73">
        <f t="shared" si="20"/>
        <v>18.109470143827437</v>
      </c>
      <c r="AE66" s="56">
        <f t="shared" si="21"/>
        <v>0.31776575090063935</v>
      </c>
      <c r="AF66" s="74">
        <f t="shared" si="22"/>
        <v>32.201562368910295</v>
      </c>
      <c r="AG66" s="74">
        <f t="shared" si="23"/>
        <v>28.548188616931395</v>
      </c>
      <c r="AH66" s="75">
        <v>5</v>
      </c>
      <c r="AI66" s="76">
        <f t="shared" si="24"/>
        <v>13.244351661749999</v>
      </c>
      <c r="AJ66" s="76">
        <f t="shared" si="25"/>
        <v>10.125818661749999</v>
      </c>
      <c r="AK66" s="93"/>
      <c r="AL66" s="93"/>
      <c r="AM66" s="93"/>
      <c r="AN66" s="93"/>
      <c r="AO66" s="93"/>
      <c r="AP66" s="93"/>
    </row>
    <row r="67" spans="1:42" ht="21.75" customHeight="1" x14ac:dyDescent="0.25">
      <c r="A67" s="93">
        <v>33</v>
      </c>
      <c r="B67" s="105" t="s">
        <v>105</v>
      </c>
      <c r="C67" s="96"/>
      <c r="D67" s="93" t="s">
        <v>72</v>
      </c>
      <c r="E67" s="67" t="s">
        <v>73</v>
      </c>
      <c r="F67" s="57">
        <v>1.1299999999999999</v>
      </c>
      <c r="G67" s="68">
        <f t="shared" ref="G67:G98" si="26">IF(E67="RMB",(F67*$C$8)*(1+$C$17)*(1+$C$18),IF(E67="$$$",(F67*$C$9)*(1+$C$17)*(1+$C$18),"ALEGE $$$ SAU RMB"))</f>
        <v>5.2193931600000001</v>
      </c>
      <c r="H67" s="69">
        <v>0.11</v>
      </c>
      <c r="I67" s="70">
        <f t="shared" ref="I67:I98" si="27">H67*$C$12</f>
        <v>3.9072000000000005</v>
      </c>
      <c r="J67" s="70">
        <f t="shared" ref="J67:J90" si="28">H67*$C$14</f>
        <v>1.7582400000000002</v>
      </c>
      <c r="K67" s="70">
        <f t="shared" ref="K67:K90" si="29">(G67+I67)*$C$20</f>
        <v>0.59322855540000008</v>
      </c>
      <c r="L67" s="70">
        <f t="shared" ref="L67:L90" si="30">(G67+J67)*$C$20</f>
        <v>0.45354615539999998</v>
      </c>
      <c r="M67" s="70">
        <f t="shared" ref="M67:M90" si="31">(G67+I67+K67)*$C$19</f>
        <v>2.041162560234</v>
      </c>
      <c r="N67" s="70">
        <f t="shared" ref="N67:N90" si="32">(G67+J67+L67)*$C$19</f>
        <v>1.5605476562339999</v>
      </c>
      <c r="O67" s="70">
        <f t="shared" ref="O67:O90" si="33">G67+I67+K67+M67</f>
        <v>11.760984275634</v>
      </c>
      <c r="P67" s="70">
        <f t="shared" ref="P67:P90" si="34">G67+J67+L67+N67</f>
        <v>8.9917269716339998</v>
      </c>
      <c r="Q67" s="71">
        <f t="shared" ref="Q67:Q98" si="35">(O67-P67)</f>
        <v>2.7692573039999999</v>
      </c>
      <c r="R67" s="54">
        <f t="shared" ref="R67:R90" si="36">(1-P67/O67)</f>
        <v>0.23546135587794736</v>
      </c>
      <c r="S67" s="72">
        <v>56.99</v>
      </c>
      <c r="T67" s="55">
        <v>0.2</v>
      </c>
      <c r="U67" s="71">
        <f t="shared" ref="U67:U90" si="37">IF(OR($A$2="Impozit pe profit neplatitor de TVA",$A$2="Microintreprindere (un angajat minim) neplatitor de TVA"),S67,S67/(1+$C$19))</f>
        <v>56.99</v>
      </c>
      <c r="V67" s="71">
        <f t="shared" ref="V67:V98" si="38">IF(OR($A$2="Impozit pe profit platitor de TVA",$A$2="Microintreprindere (un angajat minim) platitor de TVA"),(U67+$C$29/(1+$C$19))*T67,(U67+$C$29)*T67)</f>
        <v>14.578000000000001</v>
      </c>
      <c r="W67" s="71">
        <f t="shared" ref="W67:W98" si="39">V67*$C$19</f>
        <v>3.0613800000000002</v>
      </c>
      <c r="X67" s="71">
        <f t="shared" ref="X67:X98" si="40">IF($A$2="Impozit pe profit neplatitor de TVA",((U67+$C$29)-(V67+W67+O67+$C$26+$C$23))*$C$21,IF($A$2="Impozit pe profit platitor de TVA",((U67+$C$29/(1+$C$19))-(V67+(O67-M67)+($C$26+$C$23)/(1+$C$19)))*$C$21,IF($A$2="Microintreprindere (un angajat minim) neplatitor de TVA",(U67+$C$29)*$C$21,(U67+$C$29/(1+$C$19))*$C$21)))</f>
        <v>3.006341715898559</v>
      </c>
      <c r="Y67" s="71">
        <f t="shared" ref="Y67:Y90" si="41">IF($A$2="Impozit pe profit neplatitor de TVA",((U67+$C$29)-(V67+W67+P67+$C$26+$C$23))*$C$21,IF($A$2="Impozit pe profit platitor de TVA",((U67+$C$29/(1+$C$19))-(V67+(P67-N67)+($C$26+$C$23)/(1+$C$19)))*$C$21,IF($A$2="Microintreprindere (un angajat minim) neplatitor de TVA",(U67+$C$29)*$C$21,(U67+$C$29/(1+$C$19))*$C$21)))</f>
        <v>3.4494228845385599</v>
      </c>
      <c r="Z67" s="71">
        <f t="shared" ref="Z67:Z90" si="42">IF(OR($A$2="Impozit pe profit platitor de TVA",$A$2="Microintreprindere (un angajat minim) platitor de TVA"),(U67*$C$19+($C$29-($C$29/(1+$C$19))))-(W67+M67+(($C$26+$C$23)-($C$26+$C$23)/(1+$C$19))),0)</f>
        <v>0</v>
      </c>
      <c r="AA67" s="71">
        <f t="shared" ref="AA67:AA90" si="43">IF(OR($A$2="Impozit pe profit platitor de TVA",$A$2="Microintreprindere (un angajat minim) platitor de TVA"),(U67*$C$19+($C$29-($C$29/(1+$C$19))))-(W67+N67+(($C$26+$C$23)-($C$26+$C$23)/(1+$C$19))),0)</f>
        <v>0</v>
      </c>
      <c r="AB67" s="73">
        <f t="shared" ref="AB67:AB90" si="44">IF(OR($A$2="Impozit pe profit neplatitor de TVA",$A$2="Microintreprindere (un angajat minim) neplatitor de TVA"),((U67+$C$29)-(V67+W67+O67+$C$26+$C$23))-X67,((U67+$C$29/(1+$C$19))-(V67+(O67-M67)+($C$26+$C$23)/(1+$C$19)))-X67)</f>
        <v>15.783294008467434</v>
      </c>
      <c r="AC67" s="56">
        <f t="shared" ref="AC67:AC98" si="45">AB67/S67</f>
        <v>0.27694848233843539</v>
      </c>
      <c r="AD67" s="73">
        <f t="shared" ref="AD67:AD90" si="46">IF(OR($A$2="Impozit pe profit neplatitor de TVA",$A$2="Microintreprindere (un angajat minim) neplatitor de TVA"),(U67+$C$29)-(V67+W67+P67+$C$26+$C$23+Y67),((U67+$C$29/(1+$C$19))-(V67+(P67-N67)+($C$26+$C$23)/(1+$C$19)))-Y67)</f>
        <v>18.109470143827437</v>
      </c>
      <c r="AE67" s="56">
        <f t="shared" ref="AE67:AE98" si="47">AD67/U67</f>
        <v>0.31776575090063935</v>
      </c>
      <c r="AF67" s="74">
        <f t="shared" ref="AF67:AF90" si="48">IF($A$2="Impozit pe profit neplatitor de TVA",(O67+$C$23+$C$26-$C$29+(T67*$C$29*(1+$C$19)))/(1-T67*(1+$C$19)),IF($A$2="Impozit pe profit platitor de TVA",((O67+$C$23+$C$26)/(1-T67))-$C$29,IF($A$2="Microintreprindere (un angajat minim) neplatitor de TVA",(O67+$C$23+$C$26+$C$29*(T67*(1+$C$19)+$C$21-1))/(1-T67*(1+$C$19)-$C$21),IF($A$2="Microintreprindere (un angajat minim) platitor de TVA",(O67+$C$23+$C$26+$C$21*$C$29+T67*$C$29-$C$29)/(1-T67-$C$21),"EROARE"))))</f>
        <v>32.201562368910295</v>
      </c>
      <c r="AG67" s="74">
        <f t="shared" ref="AG67:AG90" si="49">IF($A$2="Impozit pe profit neplatitor de TVA",(P67+$C$23+$C$26-$C$29+(T67*$C$29*(1+$C$19)))/(1-T67*(1+$C$19)),IF($A$2="Impozit pe profit platitor de TVA",((P67+$C$23+$C$26)/(1-T67))-$C$29,IF($A$2="Microintreprindere (un angajat minim) neplatitor de TVA",(P67+$C$23+$C$26+$C$29*(T67*(1+$C$19)+$C$21-1))/(1-T67*(1+$C$19)-$C$21),IF($A$2="Microintreprindere (un angajat minim) platitor de TVA",(P67+$C$23+$C$26+$C$21*$C$29+T67*$C$29-$C$29)/(1-T67-$C$21),"EROARE"))))</f>
        <v>28.548188616931395</v>
      </c>
      <c r="AH67" s="75">
        <v>5</v>
      </c>
      <c r="AI67" s="76">
        <f t="shared" ref="AI67:AI98" si="50">(AH67*O67)/$C$9</f>
        <v>13.244351661749999</v>
      </c>
      <c r="AJ67" s="76">
        <f t="shared" ref="AJ67:AJ90" si="51">(AH67*P67)/$C$9</f>
        <v>10.125818661749999</v>
      </c>
      <c r="AK67" s="93"/>
      <c r="AL67" s="93"/>
      <c r="AM67" s="93"/>
      <c r="AN67" s="93"/>
      <c r="AO67" s="93"/>
      <c r="AP67" s="93"/>
    </row>
    <row r="68" spans="1:42" ht="21.75" customHeight="1" x14ac:dyDescent="0.25">
      <c r="A68" s="93">
        <v>34</v>
      </c>
      <c r="B68" s="105" t="s">
        <v>106</v>
      </c>
      <c r="C68" s="96"/>
      <c r="D68" s="93" t="s">
        <v>72</v>
      </c>
      <c r="E68" s="67" t="s">
        <v>73</v>
      </c>
      <c r="F68" s="57">
        <v>1.1000000000000001</v>
      </c>
      <c r="G68" s="68">
        <f t="shared" si="26"/>
        <v>5.0808252000000014</v>
      </c>
      <c r="H68" s="69">
        <v>0.44879999999999998</v>
      </c>
      <c r="I68" s="70">
        <f t="shared" si="27"/>
        <v>15.941376</v>
      </c>
      <c r="J68" s="70">
        <f t="shared" si="28"/>
        <v>7.1736192000000001</v>
      </c>
      <c r="K68" s="70">
        <f t="shared" si="29"/>
        <v>1.3664430780000001</v>
      </c>
      <c r="L68" s="70">
        <f t="shared" si="30"/>
        <v>0.79653888600000011</v>
      </c>
      <c r="M68" s="70">
        <f t="shared" si="31"/>
        <v>4.7016152983800001</v>
      </c>
      <c r="N68" s="70">
        <f t="shared" si="32"/>
        <v>2.74070649006</v>
      </c>
      <c r="O68" s="70">
        <f t="shared" si="33"/>
        <v>27.090259576379999</v>
      </c>
      <c r="P68" s="70">
        <f t="shared" si="34"/>
        <v>15.79168977606</v>
      </c>
      <c r="Q68" s="71">
        <f t="shared" si="35"/>
        <v>11.298569800319999</v>
      </c>
      <c r="R68" s="54">
        <f t="shared" si="36"/>
        <v>0.41707130079223098</v>
      </c>
      <c r="S68" s="72">
        <v>63.99</v>
      </c>
      <c r="T68" s="55">
        <v>0.2</v>
      </c>
      <c r="U68" s="71">
        <f t="shared" si="37"/>
        <v>63.99</v>
      </c>
      <c r="V68" s="71">
        <f t="shared" si="38"/>
        <v>15.978000000000002</v>
      </c>
      <c r="W68" s="71">
        <f t="shared" si="39"/>
        <v>3.3553800000000003</v>
      </c>
      <c r="X68" s="71">
        <f t="shared" si="40"/>
        <v>1.4026176677791999</v>
      </c>
      <c r="Y68" s="71">
        <f t="shared" si="41"/>
        <v>3.2103888358303996</v>
      </c>
      <c r="Z68" s="71">
        <f t="shared" si="42"/>
        <v>0</v>
      </c>
      <c r="AA68" s="71">
        <f t="shared" si="43"/>
        <v>0</v>
      </c>
      <c r="AB68" s="73">
        <f t="shared" si="44"/>
        <v>7.3637427558408</v>
      </c>
      <c r="AC68" s="56">
        <f t="shared" si="45"/>
        <v>0.11507646125708391</v>
      </c>
      <c r="AD68" s="73">
        <f t="shared" si="46"/>
        <v>16.854541388109595</v>
      </c>
      <c r="AE68" s="56">
        <f t="shared" si="47"/>
        <v>0.2633933644024003</v>
      </c>
      <c r="AF68" s="74">
        <f t="shared" si="48"/>
        <v>52.424880707625327</v>
      </c>
      <c r="AG68" s="74">
        <f t="shared" si="49"/>
        <v>37.51911579955145</v>
      </c>
      <c r="AH68" s="75">
        <v>5</v>
      </c>
      <c r="AI68" s="76">
        <f t="shared" si="50"/>
        <v>30.507049072499996</v>
      </c>
      <c r="AJ68" s="76">
        <f t="shared" si="51"/>
        <v>17.783434432499998</v>
      </c>
      <c r="AK68" s="93"/>
      <c r="AL68" s="93"/>
      <c r="AM68" s="93"/>
      <c r="AN68" s="93"/>
      <c r="AO68" s="93"/>
      <c r="AP68" s="93"/>
    </row>
    <row r="69" spans="1:42" ht="21.75" customHeight="1" x14ac:dyDescent="0.25">
      <c r="A69" s="93">
        <v>35</v>
      </c>
      <c r="B69" s="105" t="s">
        <v>107</v>
      </c>
      <c r="C69" s="96"/>
      <c r="D69" s="93" t="s">
        <v>72</v>
      </c>
      <c r="E69" s="67" t="s">
        <v>73</v>
      </c>
      <c r="F69" s="57">
        <v>3.3</v>
      </c>
      <c r="G69" s="68">
        <f t="shared" si="26"/>
        <v>15.242475600000002</v>
      </c>
      <c r="H69" s="69">
        <v>1.444</v>
      </c>
      <c r="I69" s="70">
        <f t="shared" si="27"/>
        <v>51.290880000000001</v>
      </c>
      <c r="J69" s="70">
        <f t="shared" si="28"/>
        <v>23.080896000000003</v>
      </c>
      <c r="K69" s="70">
        <f t="shared" si="29"/>
        <v>4.3246681140000005</v>
      </c>
      <c r="L69" s="70">
        <f t="shared" si="30"/>
        <v>2.4910191540000004</v>
      </c>
      <c r="M69" s="70">
        <f t="shared" si="31"/>
        <v>14.880184979940003</v>
      </c>
      <c r="N69" s="70">
        <f t="shared" si="32"/>
        <v>8.5710220583400005</v>
      </c>
      <c r="O69" s="70">
        <f t="shared" si="33"/>
        <v>85.73820869394001</v>
      </c>
      <c r="P69" s="70">
        <f t="shared" si="34"/>
        <v>49.38541281234</v>
      </c>
      <c r="Q69" s="71">
        <f t="shared" si="35"/>
        <v>36.352795881600009</v>
      </c>
      <c r="R69" s="54">
        <f t="shared" si="36"/>
        <v>0.42399761361202115</v>
      </c>
      <c r="S69" s="72">
        <v>112.99</v>
      </c>
      <c r="T69" s="55">
        <v>0.2</v>
      </c>
      <c r="U69" s="71">
        <f t="shared" si="37"/>
        <v>112.99</v>
      </c>
      <c r="V69" s="71">
        <f t="shared" si="38"/>
        <v>25.777999999999999</v>
      </c>
      <c r="W69" s="71">
        <f t="shared" si="39"/>
        <v>5.4133799999999992</v>
      </c>
      <c r="X69" s="71">
        <f t="shared" si="40"/>
        <v>-2.0383341910304034</v>
      </c>
      <c r="Y69" s="71">
        <f t="shared" si="41"/>
        <v>3.7781131500255971</v>
      </c>
      <c r="Z69" s="71">
        <f t="shared" si="42"/>
        <v>0</v>
      </c>
      <c r="AA69" s="71">
        <f t="shared" si="43"/>
        <v>0</v>
      </c>
      <c r="AB69" s="73">
        <f t="shared" si="44"/>
        <v>-10.701254502909618</v>
      </c>
      <c r="AC69" s="56">
        <f t="shared" si="45"/>
        <v>-9.4709748676074151E-2</v>
      </c>
      <c r="AD69" s="73">
        <f t="shared" si="46"/>
        <v>19.835094037634377</v>
      </c>
      <c r="AE69" s="56">
        <f t="shared" si="47"/>
        <v>0.17554734080568526</v>
      </c>
      <c r="AF69" s="74">
        <f t="shared" si="48"/>
        <v>129.79684524266492</v>
      </c>
      <c r="AG69" s="74">
        <f t="shared" si="49"/>
        <v>81.838011625778364</v>
      </c>
      <c r="AH69" s="75">
        <v>5</v>
      </c>
      <c r="AI69" s="76">
        <f t="shared" si="50"/>
        <v>96.552036817499996</v>
      </c>
      <c r="AJ69" s="76">
        <f t="shared" si="51"/>
        <v>55.614203617499996</v>
      </c>
      <c r="AK69" s="93"/>
      <c r="AL69" s="93"/>
      <c r="AM69" s="93"/>
      <c r="AN69" s="93"/>
      <c r="AO69" s="93"/>
      <c r="AP69" s="93"/>
    </row>
    <row r="70" spans="1:42" ht="21.75" customHeight="1" x14ac:dyDescent="0.25">
      <c r="A70" s="93">
        <v>36</v>
      </c>
      <c r="B70" s="105" t="s">
        <v>108</v>
      </c>
      <c r="C70" s="96"/>
      <c r="D70" s="93" t="s">
        <v>72</v>
      </c>
      <c r="E70" s="67" t="s">
        <v>73</v>
      </c>
      <c r="F70" s="57">
        <v>1.84</v>
      </c>
      <c r="G70" s="68">
        <f t="shared" si="26"/>
        <v>8.4988348800000022</v>
      </c>
      <c r="H70" s="69">
        <v>0.06</v>
      </c>
      <c r="I70" s="70">
        <f t="shared" si="27"/>
        <v>2.1312000000000002</v>
      </c>
      <c r="J70" s="70">
        <f t="shared" si="28"/>
        <v>0.95904000000000011</v>
      </c>
      <c r="K70" s="70">
        <f t="shared" si="29"/>
        <v>0.69095226720000014</v>
      </c>
      <c r="L70" s="70">
        <f t="shared" si="30"/>
        <v>0.61476186720000014</v>
      </c>
      <c r="M70" s="70">
        <f t="shared" si="31"/>
        <v>2.3774073009120005</v>
      </c>
      <c r="N70" s="70">
        <f t="shared" si="32"/>
        <v>2.1152537169120005</v>
      </c>
      <c r="O70" s="70">
        <f t="shared" si="33"/>
        <v>13.698394448112003</v>
      </c>
      <c r="P70" s="70">
        <f t="shared" si="34"/>
        <v>12.187890464112003</v>
      </c>
      <c r="Q70" s="71">
        <f t="shared" si="35"/>
        <v>1.5105039839999996</v>
      </c>
      <c r="R70" s="54">
        <f t="shared" si="36"/>
        <v>0.11026868803651557</v>
      </c>
      <c r="S70" s="72">
        <v>47.99</v>
      </c>
      <c r="T70" s="55">
        <v>0.17</v>
      </c>
      <c r="U70" s="71">
        <f t="shared" si="37"/>
        <v>47.99</v>
      </c>
      <c r="V70" s="71">
        <f t="shared" si="38"/>
        <v>10.861300000000002</v>
      </c>
      <c r="W70" s="71">
        <f t="shared" si="39"/>
        <v>2.2808730000000002</v>
      </c>
      <c r="X70" s="71">
        <f t="shared" si="40"/>
        <v>1.9759092083020802</v>
      </c>
      <c r="Y70" s="71">
        <f t="shared" si="41"/>
        <v>2.2175898457420793</v>
      </c>
      <c r="Z70" s="71">
        <f t="shared" si="42"/>
        <v>0</v>
      </c>
      <c r="AA70" s="71">
        <f t="shared" si="43"/>
        <v>0</v>
      </c>
      <c r="AB70" s="73">
        <f t="shared" si="44"/>
        <v>10.373523343585919</v>
      </c>
      <c r="AC70" s="56">
        <f t="shared" si="45"/>
        <v>0.21616010301283431</v>
      </c>
      <c r="AD70" s="73">
        <f t="shared" si="46"/>
        <v>11.642346690145914</v>
      </c>
      <c r="AE70" s="56">
        <f t="shared" si="47"/>
        <v>0.24259943092614947</v>
      </c>
      <c r="AF70" s="74">
        <f t="shared" si="48"/>
        <v>32.442432894513409</v>
      </c>
      <c r="AG70" s="74">
        <f t="shared" si="49"/>
        <v>30.540753448460286</v>
      </c>
      <c r="AH70" s="75">
        <v>5</v>
      </c>
      <c r="AI70" s="76">
        <f t="shared" si="50"/>
        <v>15.426119874000003</v>
      </c>
      <c r="AJ70" s="76">
        <f t="shared" si="51"/>
        <v>13.725101874000002</v>
      </c>
      <c r="AK70" s="93"/>
      <c r="AL70" s="93"/>
      <c r="AM70" s="93"/>
      <c r="AN70" s="93"/>
      <c r="AO70" s="93"/>
      <c r="AP70" s="93"/>
    </row>
    <row r="71" spans="1:42" ht="21.75" customHeight="1" x14ac:dyDescent="0.25">
      <c r="A71" s="93">
        <v>37</v>
      </c>
      <c r="B71" s="105" t="s">
        <v>109</v>
      </c>
      <c r="C71" s="96"/>
      <c r="D71" s="93" t="s">
        <v>72</v>
      </c>
      <c r="E71" s="67" t="s">
        <v>73</v>
      </c>
      <c r="F71" s="57">
        <v>1.5</v>
      </c>
      <c r="G71" s="68">
        <f t="shared" si="26"/>
        <v>6.9283980000000005</v>
      </c>
      <c r="H71" s="69">
        <v>0.80640000000000001</v>
      </c>
      <c r="I71" s="70">
        <f t="shared" si="27"/>
        <v>28.643328000000004</v>
      </c>
      <c r="J71" s="70">
        <f t="shared" si="28"/>
        <v>12.889497600000002</v>
      </c>
      <c r="K71" s="70">
        <f t="shared" si="29"/>
        <v>2.3121621900000005</v>
      </c>
      <c r="L71" s="70">
        <f t="shared" si="30"/>
        <v>1.2881632140000003</v>
      </c>
      <c r="M71" s="70">
        <f t="shared" si="31"/>
        <v>7.9556165199000013</v>
      </c>
      <c r="N71" s="70">
        <f t="shared" si="32"/>
        <v>4.4322723509400008</v>
      </c>
      <c r="O71" s="70">
        <f t="shared" si="33"/>
        <v>45.839504709900012</v>
      </c>
      <c r="P71" s="70">
        <f t="shared" si="34"/>
        <v>25.538331164940004</v>
      </c>
      <c r="Q71" s="71">
        <f t="shared" si="35"/>
        <v>20.301173544960008</v>
      </c>
      <c r="R71" s="54">
        <f t="shared" si="36"/>
        <v>0.44287506318923076</v>
      </c>
      <c r="S71" s="72">
        <v>52.99</v>
      </c>
      <c r="T71" s="55">
        <v>0.21</v>
      </c>
      <c r="U71" s="71">
        <f t="shared" si="37"/>
        <v>52.99</v>
      </c>
      <c r="V71" s="71">
        <f t="shared" si="38"/>
        <v>14.466899999999999</v>
      </c>
      <c r="W71" s="71">
        <f t="shared" si="39"/>
        <v>3.0380489999999996</v>
      </c>
      <c r="X71" s="71">
        <f t="shared" si="40"/>
        <v>-3.0647125935840016</v>
      </c>
      <c r="Y71" s="71">
        <f t="shared" si="41"/>
        <v>0.18347517360959956</v>
      </c>
      <c r="Z71" s="71">
        <f t="shared" si="42"/>
        <v>0</v>
      </c>
      <c r="AA71" s="71">
        <f t="shared" si="43"/>
        <v>0</v>
      </c>
      <c r="AB71" s="73">
        <f t="shared" si="44"/>
        <v>-16.089741116316009</v>
      </c>
      <c r="AC71" s="56">
        <f t="shared" si="45"/>
        <v>-0.30363731112126835</v>
      </c>
      <c r="AD71" s="73">
        <f t="shared" si="46"/>
        <v>0.96324466145040333</v>
      </c>
      <c r="AE71" s="56">
        <f t="shared" si="47"/>
        <v>1.8177857358943259E-2</v>
      </c>
      <c r="AF71" s="74">
        <f t="shared" si="48"/>
        <v>78.669653720203812</v>
      </c>
      <c r="AG71" s="74">
        <f t="shared" si="49"/>
        <v>51.452635963185429</v>
      </c>
      <c r="AH71" s="75">
        <v>5</v>
      </c>
      <c r="AI71" s="76">
        <f t="shared" si="50"/>
        <v>51.621063862500009</v>
      </c>
      <c r="AJ71" s="76">
        <f t="shared" si="51"/>
        <v>28.759381942500003</v>
      </c>
      <c r="AK71" s="93"/>
      <c r="AL71" s="93"/>
      <c r="AM71" s="93"/>
      <c r="AN71" s="93"/>
      <c r="AO71" s="93"/>
      <c r="AP71" s="93"/>
    </row>
    <row r="72" spans="1:42" ht="21.75" customHeight="1" x14ac:dyDescent="0.25">
      <c r="A72" s="93">
        <v>38</v>
      </c>
      <c r="B72" s="105" t="s">
        <v>110</v>
      </c>
      <c r="C72" s="96"/>
      <c r="D72" s="93" t="s">
        <v>72</v>
      </c>
      <c r="E72" s="67" t="s">
        <v>73</v>
      </c>
      <c r="F72" s="57">
        <v>1.1499999999999999</v>
      </c>
      <c r="G72" s="68">
        <f t="shared" si="26"/>
        <v>5.3117717999999998</v>
      </c>
      <c r="H72" s="69">
        <v>6.7199999999999996E-2</v>
      </c>
      <c r="I72" s="70">
        <f t="shared" si="27"/>
        <v>2.3869440000000002</v>
      </c>
      <c r="J72" s="70">
        <f t="shared" si="28"/>
        <v>1.0741248000000001</v>
      </c>
      <c r="K72" s="70">
        <f t="shared" si="29"/>
        <v>0.50041652700000006</v>
      </c>
      <c r="L72" s="70">
        <f t="shared" si="30"/>
        <v>0.41508327899999997</v>
      </c>
      <c r="M72" s="70">
        <f t="shared" si="31"/>
        <v>1.7218177886700001</v>
      </c>
      <c r="N72" s="70">
        <f t="shared" si="32"/>
        <v>1.4282057745899999</v>
      </c>
      <c r="O72" s="70">
        <f t="shared" si="33"/>
        <v>9.9209501156700011</v>
      </c>
      <c r="P72" s="70">
        <f t="shared" si="34"/>
        <v>8.2291856535899992</v>
      </c>
      <c r="Q72" s="71">
        <f t="shared" si="35"/>
        <v>1.6917644620800019</v>
      </c>
      <c r="R72" s="54">
        <f t="shared" si="36"/>
        <v>0.17052443993321609</v>
      </c>
      <c r="S72" s="72">
        <v>40.99</v>
      </c>
      <c r="T72" s="55">
        <v>0.17</v>
      </c>
      <c r="U72" s="71">
        <f t="shared" si="37"/>
        <v>40.99</v>
      </c>
      <c r="V72" s="71">
        <f t="shared" si="38"/>
        <v>9.6713000000000005</v>
      </c>
      <c r="W72" s="71">
        <f t="shared" si="39"/>
        <v>2.0309729999999999</v>
      </c>
      <c r="X72" s="71">
        <f t="shared" si="40"/>
        <v>1.6906843014927995</v>
      </c>
      <c r="Y72" s="71">
        <f t="shared" si="41"/>
        <v>1.9613666154255998</v>
      </c>
      <c r="Z72" s="71">
        <f t="shared" si="42"/>
        <v>0</v>
      </c>
      <c r="AA72" s="71">
        <f t="shared" si="43"/>
        <v>0</v>
      </c>
      <c r="AB72" s="73">
        <f t="shared" si="44"/>
        <v>8.876092582837197</v>
      </c>
      <c r="AC72" s="56">
        <f t="shared" si="45"/>
        <v>0.21654287833220778</v>
      </c>
      <c r="AD72" s="73">
        <f t="shared" si="46"/>
        <v>10.297174730984402</v>
      </c>
      <c r="AE72" s="56">
        <f t="shared" si="47"/>
        <v>0.25121187438361553</v>
      </c>
      <c r="AF72" s="74">
        <f t="shared" si="48"/>
        <v>27.686743189814933</v>
      </c>
      <c r="AG72" s="74">
        <f t="shared" si="49"/>
        <v>25.556862210235426</v>
      </c>
      <c r="AH72" s="75">
        <v>5</v>
      </c>
      <c r="AI72" s="76">
        <f t="shared" si="50"/>
        <v>11.17224112125</v>
      </c>
      <c r="AJ72" s="76">
        <f t="shared" si="51"/>
        <v>9.2671009612499979</v>
      </c>
      <c r="AK72" s="93"/>
      <c r="AL72" s="93"/>
      <c r="AM72" s="93"/>
      <c r="AN72" s="93"/>
      <c r="AO72" s="93"/>
      <c r="AP72" s="93"/>
    </row>
    <row r="73" spans="1:42" ht="21.75" customHeight="1" x14ac:dyDescent="0.25">
      <c r="A73" s="93">
        <v>39</v>
      </c>
      <c r="B73" s="105" t="s">
        <v>111</v>
      </c>
      <c r="C73" s="96"/>
      <c r="D73" s="93" t="s">
        <v>72</v>
      </c>
      <c r="E73" s="67" t="s">
        <v>73</v>
      </c>
      <c r="F73" s="57">
        <v>1.5</v>
      </c>
      <c r="G73" s="68">
        <f t="shared" si="26"/>
        <v>6.9283980000000005</v>
      </c>
      <c r="H73" s="69">
        <v>7.1999999999999995E-2</v>
      </c>
      <c r="I73" s="70">
        <f t="shared" si="27"/>
        <v>2.5574400000000002</v>
      </c>
      <c r="J73" s="70">
        <f t="shared" si="28"/>
        <v>1.1508480000000001</v>
      </c>
      <c r="K73" s="70">
        <f t="shared" si="29"/>
        <v>0.61657947000000013</v>
      </c>
      <c r="L73" s="70">
        <f t="shared" si="30"/>
        <v>0.5251509900000001</v>
      </c>
      <c r="M73" s="70">
        <f t="shared" si="31"/>
        <v>2.1215076687000001</v>
      </c>
      <c r="N73" s="70">
        <f t="shared" si="32"/>
        <v>1.8069233679000003</v>
      </c>
      <c r="O73" s="70">
        <f t="shared" si="33"/>
        <v>12.2239251387</v>
      </c>
      <c r="P73" s="70">
        <f t="shared" si="34"/>
        <v>10.411320357900001</v>
      </c>
      <c r="Q73" s="71">
        <f t="shared" si="35"/>
        <v>1.8126047807999992</v>
      </c>
      <c r="R73" s="54">
        <f t="shared" si="36"/>
        <v>0.14828336726813163</v>
      </c>
      <c r="S73" s="72">
        <v>57.99</v>
      </c>
      <c r="T73" s="55">
        <v>0.2</v>
      </c>
      <c r="U73" s="71">
        <f t="shared" si="37"/>
        <v>57.99</v>
      </c>
      <c r="V73" s="71">
        <f t="shared" si="38"/>
        <v>14.778</v>
      </c>
      <c r="W73" s="71">
        <f t="shared" si="39"/>
        <v>3.10338</v>
      </c>
      <c r="X73" s="71">
        <f t="shared" si="40"/>
        <v>3.053551177808</v>
      </c>
      <c r="Y73" s="71">
        <f t="shared" si="41"/>
        <v>3.3435679427359992</v>
      </c>
      <c r="Z73" s="71">
        <f t="shared" si="42"/>
        <v>0</v>
      </c>
      <c r="AA73" s="71">
        <f t="shared" si="43"/>
        <v>0</v>
      </c>
      <c r="AB73" s="73">
        <f t="shared" si="44"/>
        <v>16.031143683492001</v>
      </c>
      <c r="AC73" s="56">
        <f t="shared" si="45"/>
        <v>0.27644669224852564</v>
      </c>
      <c r="AD73" s="73">
        <f t="shared" si="46"/>
        <v>17.553731699363993</v>
      </c>
      <c r="AE73" s="56">
        <f t="shared" si="47"/>
        <v>0.3027027366677702</v>
      </c>
      <c r="AF73" s="74">
        <f t="shared" si="48"/>
        <v>32.812302293799469</v>
      </c>
      <c r="AG73" s="74">
        <f t="shared" si="49"/>
        <v>30.421003110686016</v>
      </c>
      <c r="AH73" s="75">
        <v>5</v>
      </c>
      <c r="AI73" s="76">
        <f t="shared" si="50"/>
        <v>13.765681462499998</v>
      </c>
      <c r="AJ73" s="76">
        <f t="shared" si="51"/>
        <v>11.7244598625</v>
      </c>
      <c r="AK73" s="93"/>
      <c r="AL73" s="93"/>
      <c r="AM73" s="93"/>
      <c r="AN73" s="93"/>
      <c r="AO73" s="93"/>
      <c r="AP73" s="93"/>
    </row>
    <row r="74" spans="1:42" ht="21.75" customHeight="1" x14ac:dyDescent="0.25">
      <c r="A74" s="93">
        <v>40</v>
      </c>
      <c r="B74" s="105" t="s">
        <v>112</v>
      </c>
      <c r="C74" s="96"/>
      <c r="D74" s="93" t="s">
        <v>72</v>
      </c>
      <c r="E74" s="67" t="s">
        <v>73</v>
      </c>
      <c r="F74" s="57">
        <v>7.29</v>
      </c>
      <c r="G74" s="68">
        <f t="shared" si="26"/>
        <v>33.672014280000006</v>
      </c>
      <c r="H74" s="69">
        <v>0.67200000000000004</v>
      </c>
      <c r="I74" s="70">
        <f t="shared" si="27"/>
        <v>23.869440000000004</v>
      </c>
      <c r="J74" s="70">
        <f t="shared" si="28"/>
        <v>10.741248000000002</v>
      </c>
      <c r="K74" s="70">
        <f t="shared" si="29"/>
        <v>3.7401945282000009</v>
      </c>
      <c r="L74" s="70">
        <f t="shared" si="30"/>
        <v>2.8868620482000007</v>
      </c>
      <c r="M74" s="70">
        <f t="shared" si="31"/>
        <v>12.869146249722002</v>
      </c>
      <c r="N74" s="70">
        <f t="shared" si="32"/>
        <v>9.933026108922002</v>
      </c>
      <c r="O74" s="70">
        <f t="shared" si="33"/>
        <v>74.150795057922011</v>
      </c>
      <c r="P74" s="70">
        <f t="shared" si="34"/>
        <v>57.233150437122013</v>
      </c>
      <c r="Q74" s="71">
        <f t="shared" si="35"/>
        <v>16.917644620799997</v>
      </c>
      <c r="R74" s="54">
        <f t="shared" si="36"/>
        <v>0.22815189786683987</v>
      </c>
      <c r="S74" s="72">
        <v>163.99</v>
      </c>
      <c r="T74" s="55">
        <v>0.2</v>
      </c>
      <c r="U74" s="71">
        <f t="shared" si="37"/>
        <v>163.99</v>
      </c>
      <c r="V74" s="71">
        <f t="shared" si="38"/>
        <v>35.978000000000002</v>
      </c>
      <c r="W74" s="71">
        <f t="shared" si="39"/>
        <v>7.5553800000000004</v>
      </c>
      <c r="X74" s="71">
        <f t="shared" si="40"/>
        <v>6.0009319907324832</v>
      </c>
      <c r="Y74" s="71">
        <f t="shared" si="41"/>
        <v>8.7077551300604803</v>
      </c>
      <c r="Z74" s="71">
        <f t="shared" si="42"/>
        <v>0</v>
      </c>
      <c r="AA74" s="71">
        <f t="shared" si="43"/>
        <v>0</v>
      </c>
      <c r="AB74" s="73">
        <f t="shared" si="44"/>
        <v>31.504892951345539</v>
      </c>
      <c r="AC74" s="56">
        <f t="shared" si="45"/>
        <v>0.19211472011308944</v>
      </c>
      <c r="AD74" s="73">
        <f t="shared" si="46"/>
        <v>45.715714432817521</v>
      </c>
      <c r="AE74" s="56">
        <f t="shared" si="47"/>
        <v>0.27877135455099405</v>
      </c>
      <c r="AF74" s="74">
        <f t="shared" si="48"/>
        <v>114.51001986533247</v>
      </c>
      <c r="AG74" s="74">
        <f t="shared" si="49"/>
        <v>92.191227489606874</v>
      </c>
      <c r="AH74" s="75">
        <v>5</v>
      </c>
      <c r="AI74" s="76">
        <f t="shared" si="50"/>
        <v>83.503147587749993</v>
      </c>
      <c r="AJ74" s="76">
        <f t="shared" si="51"/>
        <v>64.451745987750016</v>
      </c>
      <c r="AK74" s="93"/>
      <c r="AL74" s="93"/>
      <c r="AM74" s="93"/>
      <c r="AN74" s="93"/>
      <c r="AO74" s="93"/>
      <c r="AP74" s="93"/>
    </row>
    <row r="75" spans="1:42" ht="21.75" customHeight="1" x14ac:dyDescent="0.25">
      <c r="A75" s="93">
        <v>41</v>
      </c>
      <c r="B75" s="105" t="s">
        <v>113</v>
      </c>
      <c r="C75" s="96"/>
      <c r="D75" s="93" t="s">
        <v>72</v>
      </c>
      <c r="E75" s="67" t="s">
        <v>73</v>
      </c>
      <c r="F75" s="57">
        <v>2.15</v>
      </c>
      <c r="G75" s="68">
        <f t="shared" si="26"/>
        <v>9.9307037999999999</v>
      </c>
      <c r="H75" s="69">
        <v>1.1220000000000001</v>
      </c>
      <c r="I75" s="70">
        <f t="shared" si="27"/>
        <v>39.853440000000006</v>
      </c>
      <c r="J75" s="70">
        <f t="shared" si="28"/>
        <v>17.934048000000004</v>
      </c>
      <c r="K75" s="70">
        <f t="shared" si="29"/>
        <v>3.2359693470000006</v>
      </c>
      <c r="L75" s="70">
        <f t="shared" si="30"/>
        <v>1.8112088670000004</v>
      </c>
      <c r="M75" s="70">
        <f t="shared" si="31"/>
        <v>11.134223760870002</v>
      </c>
      <c r="N75" s="70">
        <f t="shared" si="32"/>
        <v>6.2319517400700013</v>
      </c>
      <c r="O75" s="70">
        <f t="shared" si="33"/>
        <v>64.154336907870018</v>
      </c>
      <c r="P75" s="70">
        <f t="shared" si="34"/>
        <v>35.907912407070008</v>
      </c>
      <c r="Q75" s="71">
        <f t="shared" si="35"/>
        <v>28.246424500800011</v>
      </c>
      <c r="R75" s="54">
        <f t="shared" si="36"/>
        <v>0.4402886205707931</v>
      </c>
      <c r="S75" s="72">
        <v>56.99</v>
      </c>
      <c r="T75" s="55">
        <v>0.17</v>
      </c>
      <c r="U75" s="71">
        <f t="shared" si="37"/>
        <v>56.99</v>
      </c>
      <c r="V75" s="71">
        <f t="shared" si="38"/>
        <v>12.391300000000001</v>
      </c>
      <c r="W75" s="71">
        <f t="shared" si="39"/>
        <v>2.6021730000000001</v>
      </c>
      <c r="X75" s="71">
        <f t="shared" si="40"/>
        <v>-4.9532495852592051</v>
      </c>
      <c r="Y75" s="71">
        <f t="shared" si="41"/>
        <v>-0.43382166513120185</v>
      </c>
      <c r="Z75" s="71">
        <f t="shared" si="42"/>
        <v>0</v>
      </c>
      <c r="AA75" s="71">
        <f t="shared" si="43"/>
        <v>0</v>
      </c>
      <c r="AB75" s="73">
        <f t="shared" si="44"/>
        <v>-26.004560322610825</v>
      </c>
      <c r="AC75" s="56">
        <f t="shared" si="45"/>
        <v>-0.45630040924040749</v>
      </c>
      <c r="AD75" s="73">
        <f t="shared" si="46"/>
        <v>-2.2775637419388062</v>
      </c>
      <c r="AE75" s="56">
        <f t="shared" si="47"/>
        <v>-3.9964269905927462E-2</v>
      </c>
      <c r="AF75" s="74">
        <f t="shared" si="48"/>
        <v>95.964958967480811</v>
      </c>
      <c r="AG75" s="74">
        <f t="shared" si="49"/>
        <v>60.403553326287302</v>
      </c>
      <c r="AH75" s="75">
        <v>5</v>
      </c>
      <c r="AI75" s="76">
        <f t="shared" si="50"/>
        <v>72.245874896250015</v>
      </c>
      <c r="AJ75" s="76">
        <f t="shared" si="51"/>
        <v>40.436838296250002</v>
      </c>
      <c r="AK75" s="93"/>
      <c r="AL75" s="93"/>
      <c r="AM75" s="93"/>
      <c r="AN75" s="93"/>
      <c r="AO75" s="93"/>
      <c r="AP75" s="93"/>
    </row>
    <row r="76" spans="1:42" ht="21.75" customHeight="1" x14ac:dyDescent="0.25">
      <c r="A76" s="93">
        <v>42</v>
      </c>
      <c r="B76" s="105" t="s">
        <v>114</v>
      </c>
      <c r="C76" s="96"/>
      <c r="D76" s="93" t="s">
        <v>72</v>
      </c>
      <c r="E76" s="67" t="s">
        <v>73</v>
      </c>
      <c r="F76" s="57">
        <v>6.6</v>
      </c>
      <c r="G76" s="68">
        <f t="shared" si="26"/>
        <v>30.484951200000005</v>
      </c>
      <c r="H76" s="69">
        <v>0.61499999999999999</v>
      </c>
      <c r="I76" s="70">
        <f t="shared" si="27"/>
        <v>21.844800000000003</v>
      </c>
      <c r="J76" s="70">
        <f t="shared" si="28"/>
        <v>9.8301600000000011</v>
      </c>
      <c r="K76" s="70">
        <f t="shared" si="29"/>
        <v>3.4014338280000005</v>
      </c>
      <c r="L76" s="70">
        <f t="shared" si="30"/>
        <v>2.6204822280000002</v>
      </c>
      <c r="M76" s="70">
        <f t="shared" si="31"/>
        <v>11.703548855880001</v>
      </c>
      <c r="N76" s="70">
        <f t="shared" si="32"/>
        <v>9.0164746198800003</v>
      </c>
      <c r="O76" s="70">
        <f t="shared" si="33"/>
        <v>67.43473388388</v>
      </c>
      <c r="P76" s="70">
        <f t="shared" si="34"/>
        <v>51.952068047880005</v>
      </c>
      <c r="Q76" s="71">
        <f t="shared" si="35"/>
        <v>15.482665835999995</v>
      </c>
      <c r="R76" s="54">
        <f t="shared" si="36"/>
        <v>0.22959482368033879</v>
      </c>
      <c r="S76" s="72">
        <v>144.99</v>
      </c>
      <c r="T76" s="55">
        <v>0.21</v>
      </c>
      <c r="U76" s="71">
        <f t="shared" si="37"/>
        <v>144.99</v>
      </c>
      <c r="V76" s="71">
        <f t="shared" si="38"/>
        <v>33.786900000000003</v>
      </c>
      <c r="W76" s="71">
        <f t="shared" si="39"/>
        <v>7.0952489999999999</v>
      </c>
      <c r="X76" s="71">
        <f t="shared" si="40"/>
        <v>4.4596987385792044</v>
      </c>
      <c r="Y76" s="71">
        <f t="shared" si="41"/>
        <v>6.9369252723392014</v>
      </c>
      <c r="Z76" s="71">
        <f t="shared" si="42"/>
        <v>0</v>
      </c>
      <c r="AA76" s="71">
        <f t="shared" si="43"/>
        <v>0</v>
      </c>
      <c r="AB76" s="73">
        <f t="shared" si="44"/>
        <v>23.413418377540822</v>
      </c>
      <c r="AC76" s="56">
        <f t="shared" si="45"/>
        <v>0.16148298763735996</v>
      </c>
      <c r="AD76" s="73">
        <f t="shared" si="46"/>
        <v>36.418857679780814</v>
      </c>
      <c r="AE76" s="56">
        <f t="shared" si="47"/>
        <v>0.25118185860942693</v>
      </c>
      <c r="AF76" s="74">
        <f t="shared" si="48"/>
        <v>107.62156305654912</v>
      </c>
      <c r="AG76" s="74">
        <f t="shared" si="49"/>
        <v>86.86453686537071</v>
      </c>
      <c r="AH76" s="75">
        <v>5</v>
      </c>
      <c r="AI76" s="76">
        <f t="shared" si="50"/>
        <v>75.94001563499998</v>
      </c>
      <c r="AJ76" s="76">
        <f t="shared" si="51"/>
        <v>58.504581135000002</v>
      </c>
      <c r="AK76" s="93"/>
      <c r="AL76" s="93"/>
      <c r="AM76" s="93"/>
      <c r="AN76" s="93"/>
      <c r="AO76" s="93"/>
      <c r="AP76" s="93"/>
    </row>
    <row r="77" spans="1:42" ht="21.75" customHeight="1" x14ac:dyDescent="0.25">
      <c r="A77" s="93">
        <v>43</v>
      </c>
      <c r="B77" s="105" t="s">
        <v>115</v>
      </c>
      <c r="C77" s="96"/>
      <c r="D77" s="93" t="s">
        <v>72</v>
      </c>
      <c r="E77" s="67" t="s">
        <v>73</v>
      </c>
      <c r="F77" s="57">
        <v>1.83</v>
      </c>
      <c r="G77" s="68">
        <f t="shared" si="26"/>
        <v>8.4526455600000006</v>
      </c>
      <c r="H77" s="69">
        <v>0.192</v>
      </c>
      <c r="I77" s="70">
        <f t="shared" si="27"/>
        <v>6.819840000000001</v>
      </c>
      <c r="J77" s="70">
        <f t="shared" si="28"/>
        <v>3.0689280000000005</v>
      </c>
      <c r="K77" s="70">
        <f t="shared" si="29"/>
        <v>0.99271156140000016</v>
      </c>
      <c r="L77" s="70">
        <f t="shared" si="30"/>
        <v>0.74890228140000004</v>
      </c>
      <c r="M77" s="70">
        <f t="shared" si="31"/>
        <v>3.415691395494</v>
      </c>
      <c r="N77" s="70">
        <f t="shared" si="32"/>
        <v>2.576799926694</v>
      </c>
      <c r="O77" s="70">
        <f t="shared" si="33"/>
        <v>19.680888516894001</v>
      </c>
      <c r="P77" s="70">
        <f t="shared" si="34"/>
        <v>14.847275768094001</v>
      </c>
      <c r="Q77" s="71">
        <f t="shared" si="35"/>
        <v>4.8336127488000002</v>
      </c>
      <c r="R77" s="54">
        <f t="shared" si="36"/>
        <v>0.24559931553145298</v>
      </c>
      <c r="S77" s="72">
        <v>48.99</v>
      </c>
      <c r="T77" s="55">
        <v>0.17</v>
      </c>
      <c r="U77" s="71">
        <f t="shared" si="37"/>
        <v>48.99</v>
      </c>
      <c r="V77" s="71">
        <f t="shared" si="38"/>
        <v>11.031300000000002</v>
      </c>
      <c r="W77" s="71">
        <f t="shared" si="39"/>
        <v>2.3165730000000004</v>
      </c>
      <c r="X77" s="71">
        <f t="shared" si="40"/>
        <v>1.1457981572969607</v>
      </c>
      <c r="Y77" s="71">
        <f t="shared" si="41"/>
        <v>1.9191761971049597</v>
      </c>
      <c r="Z77" s="71">
        <f t="shared" si="42"/>
        <v>0</v>
      </c>
      <c r="AA77" s="71">
        <f t="shared" si="43"/>
        <v>0</v>
      </c>
      <c r="AB77" s="73">
        <f t="shared" si="44"/>
        <v>6.0154403258090436</v>
      </c>
      <c r="AC77" s="56">
        <f t="shared" si="45"/>
        <v>0.12278914729146853</v>
      </c>
      <c r="AD77" s="73">
        <f t="shared" si="46"/>
        <v>10.075675034801037</v>
      </c>
      <c r="AE77" s="56">
        <f t="shared" si="47"/>
        <v>0.20566799417842491</v>
      </c>
      <c r="AF77" s="74">
        <f t="shared" si="48"/>
        <v>39.974214423887709</v>
      </c>
      <c r="AG77" s="74">
        <f t="shared" si="49"/>
        <v>33.888840196517684</v>
      </c>
      <c r="AH77" s="75">
        <v>5</v>
      </c>
      <c r="AI77" s="76">
        <f t="shared" si="50"/>
        <v>22.163162744249998</v>
      </c>
      <c r="AJ77" s="76">
        <f t="shared" si="51"/>
        <v>16.719905144249999</v>
      </c>
      <c r="AK77" s="93"/>
      <c r="AL77" s="93"/>
      <c r="AM77" s="93"/>
      <c r="AN77" s="93"/>
      <c r="AO77" s="93"/>
      <c r="AP77" s="93"/>
    </row>
    <row r="78" spans="1:42" ht="21.75" customHeight="1" x14ac:dyDescent="0.25">
      <c r="A78" s="93">
        <v>44</v>
      </c>
      <c r="B78" s="105" t="s">
        <v>116</v>
      </c>
      <c r="C78" s="96"/>
      <c r="D78" s="93" t="s">
        <v>72</v>
      </c>
      <c r="E78" s="67" t="s">
        <v>73</v>
      </c>
      <c r="F78" s="57">
        <v>8.4499999999999993</v>
      </c>
      <c r="G78" s="68">
        <f t="shared" si="26"/>
        <v>39.029975400000005</v>
      </c>
      <c r="H78" s="69">
        <v>1.6704000000000001</v>
      </c>
      <c r="I78" s="70">
        <f t="shared" si="27"/>
        <v>59.332608000000008</v>
      </c>
      <c r="J78" s="70">
        <f t="shared" si="28"/>
        <v>26.699673600000004</v>
      </c>
      <c r="K78" s="70">
        <f t="shared" si="29"/>
        <v>6.3935679210000007</v>
      </c>
      <c r="L78" s="70">
        <f t="shared" si="30"/>
        <v>4.2724271850000006</v>
      </c>
      <c r="M78" s="70">
        <f t="shared" si="31"/>
        <v>21.998791777409998</v>
      </c>
      <c r="N78" s="70">
        <f t="shared" si="32"/>
        <v>14.700435998850001</v>
      </c>
      <c r="O78" s="70">
        <f t="shared" si="33"/>
        <v>126.75494309841</v>
      </c>
      <c r="P78" s="70">
        <f t="shared" si="34"/>
        <v>84.702512183850004</v>
      </c>
      <c r="Q78" s="71">
        <f t="shared" si="35"/>
        <v>42.052430914559991</v>
      </c>
      <c r="R78" s="54">
        <f t="shared" si="36"/>
        <v>0.33176166456807388</v>
      </c>
      <c r="S78" s="72">
        <v>178.99</v>
      </c>
      <c r="T78" s="55">
        <v>0.16</v>
      </c>
      <c r="U78" s="71">
        <f t="shared" si="37"/>
        <v>178.99</v>
      </c>
      <c r="V78" s="71">
        <f t="shared" si="38"/>
        <v>31.182400000000005</v>
      </c>
      <c r="W78" s="71">
        <f t="shared" si="39"/>
        <v>6.5483040000000008</v>
      </c>
      <c r="X78" s="71">
        <f t="shared" si="40"/>
        <v>0.91269646425440443</v>
      </c>
      <c r="Y78" s="71">
        <f t="shared" si="41"/>
        <v>7.6410854105840009</v>
      </c>
      <c r="Z78" s="71">
        <f t="shared" si="42"/>
        <v>0</v>
      </c>
      <c r="AA78" s="71">
        <f t="shared" si="43"/>
        <v>0</v>
      </c>
      <c r="AB78" s="73">
        <f t="shared" si="44"/>
        <v>4.7916564373356234</v>
      </c>
      <c r="AC78" s="56">
        <f t="shared" si="45"/>
        <v>2.6770525936284838E-2</v>
      </c>
      <c r="AD78" s="73">
        <f t="shared" si="46"/>
        <v>40.115698405566008</v>
      </c>
      <c r="AE78" s="56">
        <f t="shared" si="47"/>
        <v>0.22412256777231132</v>
      </c>
      <c r="AF78" s="74">
        <f t="shared" si="48"/>
        <v>171.91614967560761</v>
      </c>
      <c r="AG78" s="74">
        <f t="shared" si="49"/>
        <v>119.76779784703621</v>
      </c>
      <c r="AH78" s="75">
        <v>5</v>
      </c>
      <c r="AI78" s="76">
        <f t="shared" si="50"/>
        <v>142.74205303874999</v>
      </c>
      <c r="AJ78" s="76">
        <f t="shared" si="51"/>
        <v>95.38571191874999</v>
      </c>
      <c r="AK78" s="93"/>
      <c r="AL78" s="93"/>
      <c r="AM78" s="93"/>
      <c r="AN78" s="93"/>
      <c r="AO78" s="93"/>
      <c r="AP78" s="93"/>
    </row>
    <row r="79" spans="1:42" ht="21.75" customHeight="1" x14ac:dyDescent="0.25">
      <c r="A79" s="93">
        <v>45</v>
      </c>
      <c r="B79" s="105" t="s">
        <v>117</v>
      </c>
      <c r="C79" s="96"/>
      <c r="D79" s="93" t="s">
        <v>72</v>
      </c>
      <c r="E79" s="67" t="s">
        <v>73</v>
      </c>
      <c r="F79" s="57">
        <v>2.39</v>
      </c>
      <c r="G79" s="68">
        <f t="shared" si="26"/>
        <v>11.039247480000002</v>
      </c>
      <c r="H79" s="69">
        <v>0.12</v>
      </c>
      <c r="I79" s="70">
        <f t="shared" si="27"/>
        <v>4.2624000000000004</v>
      </c>
      <c r="J79" s="70">
        <f t="shared" si="28"/>
        <v>1.9180800000000002</v>
      </c>
      <c r="K79" s="70">
        <f t="shared" si="29"/>
        <v>0.99460708620000027</v>
      </c>
      <c r="L79" s="70">
        <f t="shared" si="30"/>
        <v>0.84222628620000017</v>
      </c>
      <c r="M79" s="70">
        <f t="shared" si="31"/>
        <v>3.422213458902001</v>
      </c>
      <c r="N79" s="70">
        <f t="shared" si="32"/>
        <v>2.8979062909020006</v>
      </c>
      <c r="O79" s="70">
        <f t="shared" si="33"/>
        <v>19.718468025102005</v>
      </c>
      <c r="P79" s="70">
        <f t="shared" si="34"/>
        <v>16.697460057102003</v>
      </c>
      <c r="Q79" s="71">
        <f t="shared" si="35"/>
        <v>3.0210079680000028</v>
      </c>
      <c r="R79" s="54">
        <f t="shared" si="36"/>
        <v>0.15320703231884947</v>
      </c>
      <c r="S79" s="72">
        <v>75.989999999999995</v>
      </c>
      <c r="T79" s="55">
        <v>0.2</v>
      </c>
      <c r="U79" s="71">
        <f t="shared" si="37"/>
        <v>75.989999999999995</v>
      </c>
      <c r="V79" s="71">
        <f t="shared" si="38"/>
        <v>18.378</v>
      </c>
      <c r="W79" s="71">
        <f t="shared" si="39"/>
        <v>3.8593799999999998</v>
      </c>
      <c r="X79" s="71">
        <f t="shared" si="40"/>
        <v>4.0374643159836801</v>
      </c>
      <c r="Y79" s="71">
        <f t="shared" si="41"/>
        <v>4.5208255908636783</v>
      </c>
      <c r="Z79" s="71">
        <f t="shared" si="42"/>
        <v>0</v>
      </c>
      <c r="AA79" s="71">
        <f t="shared" si="43"/>
        <v>0</v>
      </c>
      <c r="AB79" s="73">
        <f t="shared" si="44"/>
        <v>21.196687658914318</v>
      </c>
      <c r="AC79" s="56">
        <f t="shared" si="45"/>
        <v>0.27894048768146229</v>
      </c>
      <c r="AD79" s="73">
        <f t="shared" si="46"/>
        <v>23.73433435203431</v>
      </c>
      <c r="AE79" s="56">
        <f t="shared" si="47"/>
        <v>0.31233496975963038</v>
      </c>
      <c r="AF79" s="74">
        <f t="shared" si="48"/>
        <v>42.69956203839314</v>
      </c>
      <c r="AG79" s="74">
        <f t="shared" si="49"/>
        <v>38.714063399870717</v>
      </c>
      <c r="AH79" s="75">
        <v>5</v>
      </c>
      <c r="AI79" s="76">
        <f t="shared" si="50"/>
        <v>22.205482010250002</v>
      </c>
      <c r="AJ79" s="76">
        <f t="shared" si="51"/>
        <v>18.803446010250003</v>
      </c>
      <c r="AK79" s="93"/>
      <c r="AL79" s="93"/>
      <c r="AM79" s="93"/>
      <c r="AN79" s="93"/>
      <c r="AO79" s="93"/>
      <c r="AP79" s="93"/>
    </row>
    <row r="80" spans="1:42" ht="21.75" customHeight="1" x14ac:dyDescent="0.25">
      <c r="A80" s="93">
        <v>46</v>
      </c>
      <c r="B80" s="105" t="s">
        <v>118</v>
      </c>
      <c r="C80" s="96"/>
      <c r="D80" s="93" t="s">
        <v>72</v>
      </c>
      <c r="E80" s="67" t="s">
        <v>73</v>
      </c>
      <c r="F80" s="57">
        <v>2.96</v>
      </c>
      <c r="G80" s="68">
        <f t="shared" si="26"/>
        <v>13.672038720000002</v>
      </c>
      <c r="H80" s="69">
        <v>0.19</v>
      </c>
      <c r="I80" s="70">
        <f t="shared" si="27"/>
        <v>6.748800000000001</v>
      </c>
      <c r="J80" s="70">
        <f t="shared" si="28"/>
        <v>3.0369600000000005</v>
      </c>
      <c r="K80" s="70">
        <f t="shared" si="29"/>
        <v>1.3273545168000003</v>
      </c>
      <c r="L80" s="70">
        <f t="shared" si="30"/>
        <v>1.0860849168000002</v>
      </c>
      <c r="M80" s="70">
        <f t="shared" si="31"/>
        <v>4.5671205797279999</v>
      </c>
      <c r="N80" s="70">
        <f t="shared" si="32"/>
        <v>3.7369675637280007</v>
      </c>
      <c r="O80" s="70">
        <f t="shared" si="33"/>
        <v>26.315313816528004</v>
      </c>
      <c r="P80" s="70">
        <f t="shared" si="34"/>
        <v>21.532051200528006</v>
      </c>
      <c r="Q80" s="71">
        <f t="shared" si="35"/>
        <v>4.7832626159999982</v>
      </c>
      <c r="R80" s="54">
        <f t="shared" si="36"/>
        <v>0.18176726484621086</v>
      </c>
      <c r="S80" s="72">
        <v>87.99</v>
      </c>
      <c r="T80" s="55">
        <v>0.2</v>
      </c>
      <c r="U80" s="71">
        <f t="shared" si="37"/>
        <v>87.99</v>
      </c>
      <c r="V80" s="71">
        <f t="shared" si="38"/>
        <v>20.778000000000002</v>
      </c>
      <c r="W80" s="71">
        <f t="shared" si="39"/>
        <v>4.3633800000000003</v>
      </c>
      <c r="X80" s="71">
        <f t="shared" si="40"/>
        <v>4.4373289893555192</v>
      </c>
      <c r="Y80" s="71">
        <f t="shared" si="41"/>
        <v>5.2026510079155193</v>
      </c>
      <c r="Z80" s="71">
        <f t="shared" si="42"/>
        <v>0</v>
      </c>
      <c r="AA80" s="71">
        <f t="shared" si="43"/>
        <v>0</v>
      </c>
      <c r="AB80" s="73">
        <f t="shared" si="44"/>
        <v>23.295977194116475</v>
      </c>
      <c r="AC80" s="56">
        <f t="shared" si="45"/>
        <v>0.26475709960355126</v>
      </c>
      <c r="AD80" s="73">
        <f t="shared" si="46"/>
        <v>27.313917791556477</v>
      </c>
      <c r="AE80" s="56">
        <f t="shared" si="47"/>
        <v>0.31042070452956561</v>
      </c>
      <c r="AF80" s="74">
        <f t="shared" si="48"/>
        <v>51.402524823915577</v>
      </c>
      <c r="AG80" s="74">
        <f t="shared" si="49"/>
        <v>45.092151979588401</v>
      </c>
      <c r="AH80" s="75">
        <v>5</v>
      </c>
      <c r="AI80" s="76">
        <f t="shared" si="50"/>
        <v>29.634362406000001</v>
      </c>
      <c r="AJ80" s="76">
        <f t="shared" si="51"/>
        <v>24.247805406000005</v>
      </c>
      <c r="AK80" s="93"/>
      <c r="AL80" s="93"/>
      <c r="AM80" s="93"/>
      <c r="AN80" s="93"/>
      <c r="AO80" s="93"/>
      <c r="AP80" s="93"/>
    </row>
    <row r="81" spans="1:42" ht="21.75" customHeight="1" x14ac:dyDescent="0.25">
      <c r="A81" s="93">
        <v>47</v>
      </c>
      <c r="B81" s="105" t="s">
        <v>119</v>
      </c>
      <c r="C81" s="96"/>
      <c r="D81" s="93" t="s">
        <v>72</v>
      </c>
      <c r="E81" s="67" t="s">
        <v>73</v>
      </c>
      <c r="F81" s="57">
        <v>6</v>
      </c>
      <c r="G81" s="68">
        <f t="shared" si="26"/>
        <v>27.713592000000002</v>
      </c>
      <c r="H81" s="69">
        <v>0.30719999999999997</v>
      </c>
      <c r="I81" s="70">
        <f t="shared" si="27"/>
        <v>10.911744000000001</v>
      </c>
      <c r="J81" s="70">
        <f t="shared" si="28"/>
        <v>4.9102848000000003</v>
      </c>
      <c r="K81" s="70">
        <f t="shared" si="29"/>
        <v>2.5106468400000002</v>
      </c>
      <c r="L81" s="70">
        <f t="shared" si="30"/>
        <v>2.1205519920000002</v>
      </c>
      <c r="M81" s="70">
        <f t="shared" si="31"/>
        <v>8.6385563964000003</v>
      </c>
      <c r="N81" s="70">
        <f t="shared" si="32"/>
        <v>7.2963300463200014</v>
      </c>
      <c r="O81" s="70">
        <f t="shared" si="33"/>
        <v>49.774539236400003</v>
      </c>
      <c r="P81" s="70">
        <f t="shared" si="34"/>
        <v>42.040758838320009</v>
      </c>
      <c r="Q81" s="71">
        <f t="shared" si="35"/>
        <v>7.7337803980799933</v>
      </c>
      <c r="R81" s="54">
        <f t="shared" si="36"/>
        <v>0.15537623284364421</v>
      </c>
      <c r="S81" s="72">
        <v>134.99</v>
      </c>
      <c r="T81" s="55">
        <v>0.2</v>
      </c>
      <c r="U81" s="71">
        <f t="shared" si="37"/>
        <v>134.99</v>
      </c>
      <c r="V81" s="71">
        <f t="shared" si="38"/>
        <v>30.178000000000004</v>
      </c>
      <c r="W81" s="71">
        <f t="shared" si="39"/>
        <v>6.3373800000000005</v>
      </c>
      <c r="X81" s="71">
        <f t="shared" si="40"/>
        <v>6.3840129221760007</v>
      </c>
      <c r="Y81" s="71">
        <f t="shared" si="41"/>
        <v>7.6214177858688004</v>
      </c>
      <c r="Z81" s="71">
        <f t="shared" si="42"/>
        <v>0</v>
      </c>
      <c r="AA81" s="71">
        <f t="shared" si="43"/>
        <v>0</v>
      </c>
      <c r="AB81" s="73">
        <f t="shared" si="44"/>
        <v>33.516067841424004</v>
      </c>
      <c r="AC81" s="56">
        <f t="shared" si="45"/>
        <v>0.24828556071874955</v>
      </c>
      <c r="AD81" s="73">
        <f t="shared" si="46"/>
        <v>40.012443375811202</v>
      </c>
      <c r="AE81" s="56">
        <f t="shared" si="47"/>
        <v>0.29641042577828874</v>
      </c>
      <c r="AF81" s="74">
        <f t="shared" si="48"/>
        <v>82.351371024274414</v>
      </c>
      <c r="AG81" s="74">
        <f t="shared" si="49"/>
        <v>72.148494509656999</v>
      </c>
      <c r="AH81" s="75">
        <v>5</v>
      </c>
      <c r="AI81" s="76">
        <f t="shared" si="50"/>
        <v>56.052409050000001</v>
      </c>
      <c r="AJ81" s="76">
        <f t="shared" si="51"/>
        <v>47.343196890000009</v>
      </c>
      <c r="AK81" s="93"/>
      <c r="AL81" s="93"/>
      <c r="AM81" s="93"/>
      <c r="AN81" s="93"/>
      <c r="AO81" s="93"/>
      <c r="AP81" s="93"/>
    </row>
    <row r="82" spans="1:42" ht="21.75" customHeight="1" x14ac:dyDescent="0.25">
      <c r="A82" s="93">
        <v>48</v>
      </c>
      <c r="B82" s="105" t="s">
        <v>120</v>
      </c>
      <c r="C82" s="96"/>
      <c r="D82" s="93" t="s">
        <v>72</v>
      </c>
      <c r="E82" s="67" t="s">
        <v>73</v>
      </c>
      <c r="F82" s="57">
        <v>2.6</v>
      </c>
      <c r="G82" s="68">
        <f t="shared" si="26"/>
        <v>12.009223200000003</v>
      </c>
      <c r="H82" s="69">
        <v>0.504</v>
      </c>
      <c r="I82" s="70">
        <f t="shared" si="27"/>
        <v>17.902080000000002</v>
      </c>
      <c r="J82" s="70">
        <f t="shared" si="28"/>
        <v>8.0559360000000009</v>
      </c>
      <c r="K82" s="70">
        <f t="shared" si="29"/>
        <v>1.9442347080000004</v>
      </c>
      <c r="L82" s="70">
        <f t="shared" si="30"/>
        <v>1.3042353480000002</v>
      </c>
      <c r="M82" s="70">
        <f t="shared" si="31"/>
        <v>6.6896629606800007</v>
      </c>
      <c r="N82" s="70">
        <f t="shared" si="32"/>
        <v>4.4875728550800007</v>
      </c>
      <c r="O82" s="70">
        <f t="shared" si="33"/>
        <v>38.545200868680006</v>
      </c>
      <c r="P82" s="70">
        <f t="shared" si="34"/>
        <v>25.856967403080002</v>
      </c>
      <c r="Q82" s="71">
        <f t="shared" si="35"/>
        <v>12.688233465600003</v>
      </c>
      <c r="R82" s="54">
        <f t="shared" si="36"/>
        <v>0.32917803461000661</v>
      </c>
      <c r="S82" s="72">
        <v>86.99</v>
      </c>
      <c r="T82" s="55">
        <v>0.2</v>
      </c>
      <c r="U82" s="71">
        <f t="shared" si="37"/>
        <v>86.99</v>
      </c>
      <c r="V82" s="71">
        <f t="shared" si="38"/>
        <v>20.578000000000003</v>
      </c>
      <c r="W82" s="71">
        <f t="shared" si="39"/>
        <v>4.3213800000000004</v>
      </c>
      <c r="X82" s="71">
        <f t="shared" si="40"/>
        <v>2.3592670610111988</v>
      </c>
      <c r="Y82" s="71">
        <f t="shared" si="41"/>
        <v>4.3893844155071999</v>
      </c>
      <c r="Z82" s="71">
        <f t="shared" si="42"/>
        <v>0</v>
      </c>
      <c r="AA82" s="71">
        <f t="shared" si="43"/>
        <v>0</v>
      </c>
      <c r="AB82" s="73">
        <f t="shared" si="44"/>
        <v>12.386152070308793</v>
      </c>
      <c r="AC82" s="56">
        <f t="shared" si="45"/>
        <v>0.14238593022541435</v>
      </c>
      <c r="AD82" s="73">
        <f t="shared" si="46"/>
        <v>23.044268181412804</v>
      </c>
      <c r="AE82" s="56">
        <f t="shared" si="47"/>
        <v>0.26490709485472819</v>
      </c>
      <c r="AF82" s="74">
        <f t="shared" si="48"/>
        <v>67.536940459999997</v>
      </c>
      <c r="AG82" s="74">
        <f t="shared" si="49"/>
        <v>50.797846178205809</v>
      </c>
      <c r="AH82" s="75">
        <v>5</v>
      </c>
      <c r="AI82" s="76">
        <f t="shared" si="50"/>
        <v>43.406757735000006</v>
      </c>
      <c r="AJ82" s="76">
        <f t="shared" si="51"/>
        <v>29.118206534999999</v>
      </c>
      <c r="AK82" s="93"/>
      <c r="AL82" s="93"/>
      <c r="AM82" s="93"/>
      <c r="AN82" s="93"/>
      <c r="AO82" s="93"/>
      <c r="AP82" s="93"/>
    </row>
    <row r="83" spans="1:42" ht="21.75" customHeight="1" x14ac:dyDescent="0.25">
      <c r="A83" s="93">
        <v>49</v>
      </c>
      <c r="B83" s="105" t="s">
        <v>121</v>
      </c>
      <c r="C83" s="96"/>
      <c r="D83" s="93" t="s">
        <v>72</v>
      </c>
      <c r="E83" s="67" t="s">
        <v>73</v>
      </c>
      <c r="F83" s="57">
        <v>7.0000000000000007E-2</v>
      </c>
      <c r="G83" s="68">
        <f t="shared" si="26"/>
        <v>0.32332524000000007</v>
      </c>
      <c r="H83" s="69">
        <v>7.8E-2</v>
      </c>
      <c r="I83" s="70">
        <f t="shared" si="27"/>
        <v>2.7705600000000001</v>
      </c>
      <c r="J83" s="70">
        <f t="shared" si="28"/>
        <v>1.2467520000000001</v>
      </c>
      <c r="K83" s="70">
        <f t="shared" si="29"/>
        <v>0.20110254060000002</v>
      </c>
      <c r="L83" s="70">
        <f t="shared" si="30"/>
        <v>0.10205502060000002</v>
      </c>
      <c r="M83" s="70">
        <f t="shared" si="31"/>
        <v>0.691947433926</v>
      </c>
      <c r="N83" s="70">
        <f t="shared" si="32"/>
        <v>0.35114777472600001</v>
      </c>
      <c r="O83" s="70">
        <f t="shared" si="33"/>
        <v>3.986935214526</v>
      </c>
      <c r="P83" s="70">
        <f t="shared" si="34"/>
        <v>2.0232800353260001</v>
      </c>
      <c r="Q83" s="71">
        <f t="shared" si="35"/>
        <v>1.9636551791999999</v>
      </c>
      <c r="R83" s="54">
        <f t="shared" si="36"/>
        <v>0.49252246990260051</v>
      </c>
      <c r="S83" s="72">
        <v>807.99</v>
      </c>
      <c r="T83" s="55">
        <v>0.2</v>
      </c>
      <c r="U83" s="71">
        <f t="shared" si="37"/>
        <v>807.99</v>
      </c>
      <c r="V83" s="71">
        <f t="shared" si="38"/>
        <v>164.77800000000002</v>
      </c>
      <c r="W83" s="71">
        <f t="shared" si="39"/>
        <v>34.603380000000001</v>
      </c>
      <c r="X83" s="71">
        <f t="shared" si="40"/>
        <v>95.331469565675832</v>
      </c>
      <c r="Y83" s="71">
        <f t="shared" si="41"/>
        <v>95.645654394347844</v>
      </c>
      <c r="Z83" s="71">
        <f t="shared" si="42"/>
        <v>0</v>
      </c>
      <c r="AA83" s="71">
        <f t="shared" si="43"/>
        <v>0</v>
      </c>
      <c r="AB83" s="73">
        <f t="shared" si="44"/>
        <v>500.49021521979813</v>
      </c>
      <c r="AC83" s="56">
        <f t="shared" si="45"/>
        <v>0.61942624935927193</v>
      </c>
      <c r="AD83" s="73">
        <f t="shared" si="46"/>
        <v>502.13968557032615</v>
      </c>
      <c r="AE83" s="56">
        <f t="shared" si="47"/>
        <v>0.621467698325878</v>
      </c>
      <c r="AF83" s="74">
        <f t="shared" si="48"/>
        <v>21.945560969031661</v>
      </c>
      <c r="AG83" s="74">
        <f t="shared" si="49"/>
        <v>19.354986853992081</v>
      </c>
      <c r="AH83" s="75">
        <v>5</v>
      </c>
      <c r="AI83" s="76">
        <f t="shared" si="50"/>
        <v>4.48979190825</v>
      </c>
      <c r="AJ83" s="76">
        <f t="shared" si="51"/>
        <v>2.27846850825</v>
      </c>
      <c r="AK83" s="93"/>
      <c r="AL83" s="93"/>
      <c r="AM83" s="93"/>
      <c r="AN83" s="93"/>
      <c r="AO83" s="93"/>
      <c r="AP83" s="93"/>
    </row>
    <row r="84" spans="1:42" ht="21.75" customHeight="1" x14ac:dyDescent="0.25">
      <c r="A84" s="93">
        <v>50</v>
      </c>
      <c r="B84" s="105" t="s">
        <v>122</v>
      </c>
      <c r="C84" s="96"/>
      <c r="D84" s="93" t="s">
        <v>72</v>
      </c>
      <c r="E84" s="67" t="s">
        <v>73</v>
      </c>
      <c r="F84" s="57">
        <v>2.6</v>
      </c>
      <c r="G84" s="68">
        <f t="shared" si="26"/>
        <v>12.009223200000003</v>
      </c>
      <c r="H84" s="69">
        <v>0.01</v>
      </c>
      <c r="I84" s="70">
        <f t="shared" si="27"/>
        <v>0.35520000000000002</v>
      </c>
      <c r="J84" s="70">
        <f t="shared" si="28"/>
        <v>0.15984000000000001</v>
      </c>
      <c r="K84" s="70">
        <f t="shared" si="29"/>
        <v>0.80368750800000022</v>
      </c>
      <c r="L84" s="70">
        <f t="shared" si="30"/>
        <v>0.79098910800000022</v>
      </c>
      <c r="M84" s="70">
        <f t="shared" si="31"/>
        <v>2.7653032486800004</v>
      </c>
      <c r="N84" s="70">
        <f t="shared" si="32"/>
        <v>2.7216109846800007</v>
      </c>
      <c r="O84" s="70">
        <f t="shared" si="33"/>
        <v>15.933413956680003</v>
      </c>
      <c r="P84" s="70">
        <f t="shared" si="34"/>
        <v>15.681663292680003</v>
      </c>
      <c r="Q84" s="71">
        <f t="shared" si="35"/>
        <v>0.25175066399999935</v>
      </c>
      <c r="R84" s="54">
        <f t="shared" si="36"/>
        <v>1.5800170929121782E-2</v>
      </c>
      <c r="S84" s="72">
        <v>72.989999999999995</v>
      </c>
      <c r="T84" s="55">
        <v>0.2</v>
      </c>
      <c r="U84" s="71">
        <f t="shared" si="37"/>
        <v>72.989999999999995</v>
      </c>
      <c r="V84" s="71">
        <f t="shared" si="38"/>
        <v>17.778000000000002</v>
      </c>
      <c r="W84" s="71">
        <f t="shared" si="39"/>
        <v>3.7333800000000004</v>
      </c>
      <c r="X84" s="71">
        <f t="shared" si="40"/>
        <v>4.2792329669311995</v>
      </c>
      <c r="Y84" s="71">
        <f t="shared" si="41"/>
        <v>4.3195130731711995</v>
      </c>
      <c r="Z84" s="71">
        <f t="shared" si="42"/>
        <v>0</v>
      </c>
      <c r="AA84" s="71">
        <f t="shared" si="43"/>
        <v>0</v>
      </c>
      <c r="AB84" s="73">
        <f t="shared" si="44"/>
        <v>22.465973076388796</v>
      </c>
      <c r="AC84" s="56">
        <f t="shared" si="45"/>
        <v>0.30779521956965061</v>
      </c>
      <c r="AD84" s="73">
        <f t="shared" si="46"/>
        <v>22.677443634148801</v>
      </c>
      <c r="AE84" s="56">
        <f t="shared" si="47"/>
        <v>0.31069247340935474</v>
      </c>
      <c r="AF84" s="74">
        <f t="shared" si="48"/>
        <v>37.706087014089711</v>
      </c>
      <c r="AG84" s="74">
        <f t="shared" si="49"/>
        <v>37.373962127546179</v>
      </c>
      <c r="AH84" s="75">
        <v>5</v>
      </c>
      <c r="AI84" s="76">
        <f t="shared" si="50"/>
        <v>17.943033735</v>
      </c>
      <c r="AJ84" s="76">
        <f t="shared" si="51"/>
        <v>17.659530735000001</v>
      </c>
      <c r="AK84" s="93"/>
      <c r="AL84" s="93"/>
      <c r="AM84" s="93"/>
      <c r="AN84" s="93"/>
      <c r="AO84" s="93"/>
      <c r="AP84" s="93"/>
    </row>
    <row r="85" spans="1:42" ht="21.75" customHeight="1" x14ac:dyDescent="0.25">
      <c r="A85" s="93">
        <v>51</v>
      </c>
      <c r="B85" s="105" t="s">
        <v>123</v>
      </c>
      <c r="C85" s="96"/>
      <c r="D85" s="93" t="s">
        <v>72</v>
      </c>
      <c r="E85" s="67" t="s">
        <v>73</v>
      </c>
      <c r="F85" s="57">
        <v>0.74</v>
      </c>
      <c r="G85" s="68">
        <f t="shared" si="26"/>
        <v>3.4180096800000004</v>
      </c>
      <c r="H85" s="69">
        <v>0.12959999999999999</v>
      </c>
      <c r="I85" s="70">
        <f t="shared" si="27"/>
        <v>4.6033920000000004</v>
      </c>
      <c r="J85" s="70">
        <f t="shared" si="28"/>
        <v>2.0715264000000002</v>
      </c>
      <c r="K85" s="70">
        <f t="shared" si="29"/>
        <v>0.52139110920000009</v>
      </c>
      <c r="L85" s="70">
        <f t="shared" si="30"/>
        <v>0.35681984520000004</v>
      </c>
      <c r="M85" s="70">
        <f t="shared" si="31"/>
        <v>1.793986485732</v>
      </c>
      <c r="N85" s="70">
        <f t="shared" si="32"/>
        <v>1.2277347442920001</v>
      </c>
      <c r="O85" s="70">
        <f t="shared" si="33"/>
        <v>10.336779274932001</v>
      </c>
      <c r="P85" s="70">
        <f t="shared" si="34"/>
        <v>7.0740906694920014</v>
      </c>
      <c r="Q85" s="71">
        <f t="shared" si="35"/>
        <v>3.2626886054399993</v>
      </c>
      <c r="R85" s="54">
        <f t="shared" si="36"/>
        <v>0.31563879992604971</v>
      </c>
      <c r="S85" s="72">
        <v>47.99</v>
      </c>
      <c r="T85" s="55">
        <v>0.2</v>
      </c>
      <c r="U85" s="71">
        <f t="shared" si="37"/>
        <v>47.99</v>
      </c>
      <c r="V85" s="71">
        <f t="shared" si="38"/>
        <v>12.778</v>
      </c>
      <c r="W85" s="71">
        <f t="shared" si="39"/>
        <v>2.6833800000000001</v>
      </c>
      <c r="X85" s="71">
        <f t="shared" si="40"/>
        <v>2.1426945160108803</v>
      </c>
      <c r="Y85" s="71">
        <f t="shared" si="41"/>
        <v>2.6647246928812796</v>
      </c>
      <c r="Z85" s="71">
        <f t="shared" si="42"/>
        <v>0</v>
      </c>
      <c r="AA85" s="71">
        <f t="shared" si="43"/>
        <v>0</v>
      </c>
      <c r="AB85" s="73">
        <f t="shared" si="44"/>
        <v>11.24914620905712</v>
      </c>
      <c r="AC85" s="56">
        <f t="shared" si="45"/>
        <v>0.2344060472818737</v>
      </c>
      <c r="AD85" s="73">
        <f t="shared" si="46"/>
        <v>13.989804637626719</v>
      </c>
      <c r="AE85" s="56">
        <f t="shared" si="47"/>
        <v>0.29151499557463467</v>
      </c>
      <c r="AF85" s="74">
        <f t="shared" si="48"/>
        <v>30.322663951097628</v>
      </c>
      <c r="AG85" s="74">
        <f t="shared" si="49"/>
        <v>26.018325421493405</v>
      </c>
      <c r="AH85" s="75">
        <v>5</v>
      </c>
      <c r="AI85" s="76">
        <f t="shared" si="50"/>
        <v>11.6405172015</v>
      </c>
      <c r="AJ85" s="76">
        <f t="shared" si="51"/>
        <v>7.9663183215000011</v>
      </c>
      <c r="AK85" s="93"/>
      <c r="AL85" s="93"/>
      <c r="AM85" s="93"/>
      <c r="AN85" s="93"/>
      <c r="AO85" s="93"/>
      <c r="AP85" s="93"/>
    </row>
    <row r="86" spans="1:42" ht="12.75" customHeight="1" x14ac:dyDescent="0.25">
      <c r="A86" s="93">
        <v>52</v>
      </c>
      <c r="B86" s="105" t="s">
        <v>124</v>
      </c>
      <c r="C86" s="96"/>
      <c r="D86" s="93" t="s">
        <v>72</v>
      </c>
      <c r="E86" s="67" t="s">
        <v>73</v>
      </c>
      <c r="F86" s="57">
        <v>1.3</v>
      </c>
      <c r="G86" s="68">
        <f t="shared" si="26"/>
        <v>6.0046116000000014</v>
      </c>
      <c r="H86" s="69">
        <v>0.44</v>
      </c>
      <c r="I86" s="70">
        <f t="shared" si="27"/>
        <v>15.628800000000002</v>
      </c>
      <c r="J86" s="70">
        <f t="shared" si="28"/>
        <v>7.032960000000001</v>
      </c>
      <c r="K86" s="70">
        <f t="shared" si="29"/>
        <v>1.4061717540000003</v>
      </c>
      <c r="L86" s="70">
        <f t="shared" si="30"/>
        <v>0.84744215400000023</v>
      </c>
      <c r="M86" s="70">
        <f t="shared" si="31"/>
        <v>4.8383125043400002</v>
      </c>
      <c r="N86" s="70">
        <f t="shared" si="32"/>
        <v>2.9158528883400003</v>
      </c>
      <c r="O86" s="70">
        <f t="shared" si="33"/>
        <v>27.877895858340001</v>
      </c>
      <c r="P86" s="70">
        <f t="shared" si="34"/>
        <v>16.800866642340004</v>
      </c>
      <c r="Q86" s="71">
        <f t="shared" si="35"/>
        <v>11.077029215999996</v>
      </c>
      <c r="R86" s="54">
        <f t="shared" si="36"/>
        <v>0.39734093535205506</v>
      </c>
      <c r="S86" s="72">
        <v>75.989999999999995</v>
      </c>
      <c r="T86" s="55">
        <v>0.2</v>
      </c>
      <c r="U86" s="71">
        <f t="shared" si="37"/>
        <v>75.989999999999995</v>
      </c>
      <c r="V86" s="71">
        <f t="shared" si="38"/>
        <v>18.378</v>
      </c>
      <c r="W86" s="71">
        <f t="shared" si="39"/>
        <v>3.8593799999999998</v>
      </c>
      <c r="X86" s="71">
        <f t="shared" si="40"/>
        <v>2.7319558626656</v>
      </c>
      <c r="Y86" s="71">
        <f t="shared" si="41"/>
        <v>4.5042805372255996</v>
      </c>
      <c r="Z86" s="71">
        <f t="shared" si="42"/>
        <v>0</v>
      </c>
      <c r="AA86" s="71">
        <f t="shared" si="43"/>
        <v>0</v>
      </c>
      <c r="AB86" s="73">
        <f t="shared" si="44"/>
        <v>14.342768278994399</v>
      </c>
      <c r="AC86" s="56">
        <f t="shared" si="45"/>
        <v>0.18874547018021318</v>
      </c>
      <c r="AD86" s="73">
        <f t="shared" si="46"/>
        <v>23.647472820434402</v>
      </c>
      <c r="AE86" s="56">
        <f t="shared" si="47"/>
        <v>0.31119190446682987</v>
      </c>
      <c r="AF86" s="74">
        <f t="shared" si="48"/>
        <v>53.463978704934036</v>
      </c>
      <c r="AG86" s="74">
        <f t="shared" si="49"/>
        <v>38.850483697018468</v>
      </c>
      <c r="AH86" s="75">
        <v>5</v>
      </c>
      <c r="AI86" s="76">
        <f t="shared" si="50"/>
        <v>31.394026867499999</v>
      </c>
      <c r="AJ86" s="76">
        <f t="shared" si="51"/>
        <v>18.919894867500002</v>
      </c>
      <c r="AK86" s="93"/>
      <c r="AL86" s="93"/>
      <c r="AM86" s="93"/>
      <c r="AN86" s="93"/>
      <c r="AO86" s="93"/>
      <c r="AP86" s="93"/>
    </row>
    <row r="87" spans="1:42" ht="12.75" customHeight="1" x14ac:dyDescent="0.25">
      <c r="A87" s="93">
        <v>53</v>
      </c>
      <c r="B87" s="105" t="s">
        <v>125</v>
      </c>
      <c r="C87" s="96"/>
      <c r="D87" s="93" t="s">
        <v>72</v>
      </c>
      <c r="E87" s="67" t="s">
        <v>73</v>
      </c>
      <c r="F87" s="57">
        <v>4.1500000000000004</v>
      </c>
      <c r="G87" s="68">
        <f t="shared" si="26"/>
        <v>19.168567800000005</v>
      </c>
      <c r="H87" s="69">
        <v>0.34560000000000002</v>
      </c>
      <c r="I87" s="70">
        <f t="shared" si="27"/>
        <v>12.275712000000002</v>
      </c>
      <c r="J87" s="70">
        <f t="shared" si="28"/>
        <v>5.5240704000000012</v>
      </c>
      <c r="K87" s="70">
        <f t="shared" si="29"/>
        <v>2.0438781870000007</v>
      </c>
      <c r="L87" s="70">
        <f t="shared" si="30"/>
        <v>1.6050214830000002</v>
      </c>
      <c r="M87" s="70">
        <f t="shared" si="31"/>
        <v>7.0325131772700011</v>
      </c>
      <c r="N87" s="70">
        <f t="shared" si="32"/>
        <v>5.5225085334300008</v>
      </c>
      <c r="O87" s="70">
        <f t="shared" si="33"/>
        <v>40.520671164270013</v>
      </c>
      <c r="P87" s="70">
        <f t="shared" si="34"/>
        <v>31.820168216430005</v>
      </c>
      <c r="Q87" s="71">
        <f t="shared" si="35"/>
        <v>8.7005029478400076</v>
      </c>
      <c r="R87" s="54">
        <f t="shared" si="36"/>
        <v>0.21471764158516371</v>
      </c>
      <c r="S87" s="72">
        <v>105.99</v>
      </c>
      <c r="T87" s="55">
        <v>0.2</v>
      </c>
      <c r="U87" s="71">
        <f t="shared" si="37"/>
        <v>105.99</v>
      </c>
      <c r="V87" s="71">
        <f t="shared" si="38"/>
        <v>24.378</v>
      </c>
      <c r="W87" s="71">
        <f t="shared" si="39"/>
        <v>5.1193799999999996</v>
      </c>
      <c r="X87" s="71">
        <f t="shared" si="40"/>
        <v>4.347511813716797</v>
      </c>
      <c r="Y87" s="71">
        <f t="shared" si="41"/>
        <v>5.7395922853712005</v>
      </c>
      <c r="Z87" s="71">
        <f t="shared" si="42"/>
        <v>0</v>
      </c>
      <c r="AA87" s="71">
        <f t="shared" si="43"/>
        <v>0</v>
      </c>
      <c r="AB87" s="73">
        <f t="shared" si="44"/>
        <v>22.824437022013182</v>
      </c>
      <c r="AC87" s="56">
        <f t="shared" si="45"/>
        <v>0.21534519315042158</v>
      </c>
      <c r="AD87" s="73">
        <f t="shared" si="46"/>
        <v>30.132859498198798</v>
      </c>
      <c r="AE87" s="56">
        <f t="shared" si="47"/>
        <v>0.28429908008490234</v>
      </c>
      <c r="AF87" s="74">
        <f t="shared" si="48"/>
        <v>70.143101799828514</v>
      </c>
      <c r="AG87" s="74">
        <f t="shared" si="49"/>
        <v>58.664865720883917</v>
      </c>
      <c r="AH87" s="75">
        <v>5</v>
      </c>
      <c r="AI87" s="76">
        <f t="shared" si="50"/>
        <v>45.631386446250012</v>
      </c>
      <c r="AJ87" s="76">
        <f t="shared" si="51"/>
        <v>35.833522766250006</v>
      </c>
      <c r="AK87" s="93"/>
      <c r="AL87" s="93"/>
      <c r="AM87" s="93"/>
      <c r="AN87" s="93"/>
      <c r="AO87" s="93"/>
      <c r="AP87" s="93"/>
    </row>
    <row r="88" spans="1:42" ht="12.75" customHeight="1" x14ac:dyDescent="0.25">
      <c r="A88" s="93">
        <v>54</v>
      </c>
      <c r="B88" s="105" t="s">
        <v>126</v>
      </c>
      <c r="C88" s="96"/>
      <c r="D88" s="93" t="s">
        <v>72</v>
      </c>
      <c r="E88" s="67" t="s">
        <v>73</v>
      </c>
      <c r="F88" s="57">
        <v>4.1500000000000004</v>
      </c>
      <c r="G88" s="68">
        <f t="shared" si="26"/>
        <v>19.168567800000005</v>
      </c>
      <c r="H88" s="69">
        <v>0.34560000000000002</v>
      </c>
      <c r="I88" s="70">
        <f t="shared" si="27"/>
        <v>12.275712000000002</v>
      </c>
      <c r="J88" s="70">
        <f t="shared" si="28"/>
        <v>5.5240704000000012</v>
      </c>
      <c r="K88" s="70">
        <f t="shared" si="29"/>
        <v>2.0438781870000007</v>
      </c>
      <c r="L88" s="70">
        <f t="shared" si="30"/>
        <v>1.6050214830000002</v>
      </c>
      <c r="M88" s="70">
        <f t="shared" si="31"/>
        <v>7.0325131772700011</v>
      </c>
      <c r="N88" s="70">
        <f t="shared" si="32"/>
        <v>5.5225085334300008</v>
      </c>
      <c r="O88" s="70">
        <f t="shared" si="33"/>
        <v>40.520671164270013</v>
      </c>
      <c r="P88" s="70">
        <f t="shared" si="34"/>
        <v>31.820168216430005</v>
      </c>
      <c r="Q88" s="71">
        <f t="shared" si="35"/>
        <v>8.7005029478400076</v>
      </c>
      <c r="R88" s="54">
        <f t="shared" si="36"/>
        <v>0.21471764158516371</v>
      </c>
      <c r="S88" s="72">
        <v>105.99</v>
      </c>
      <c r="T88" s="55">
        <v>0.2</v>
      </c>
      <c r="U88" s="71">
        <f t="shared" si="37"/>
        <v>105.99</v>
      </c>
      <c r="V88" s="71">
        <f t="shared" si="38"/>
        <v>24.378</v>
      </c>
      <c r="W88" s="71">
        <f t="shared" si="39"/>
        <v>5.1193799999999996</v>
      </c>
      <c r="X88" s="71">
        <f t="shared" si="40"/>
        <v>4.347511813716797</v>
      </c>
      <c r="Y88" s="71">
        <f t="shared" si="41"/>
        <v>5.7395922853712005</v>
      </c>
      <c r="Z88" s="71">
        <f t="shared" si="42"/>
        <v>0</v>
      </c>
      <c r="AA88" s="71">
        <f t="shared" si="43"/>
        <v>0</v>
      </c>
      <c r="AB88" s="73">
        <f t="shared" si="44"/>
        <v>22.824437022013182</v>
      </c>
      <c r="AC88" s="56">
        <f t="shared" si="45"/>
        <v>0.21534519315042158</v>
      </c>
      <c r="AD88" s="73">
        <f t="shared" si="46"/>
        <v>30.132859498198798</v>
      </c>
      <c r="AE88" s="56">
        <f t="shared" si="47"/>
        <v>0.28429908008490234</v>
      </c>
      <c r="AF88" s="74">
        <f t="shared" si="48"/>
        <v>70.143101799828514</v>
      </c>
      <c r="AG88" s="74">
        <f t="shared" si="49"/>
        <v>58.664865720883917</v>
      </c>
      <c r="AH88" s="75">
        <v>5</v>
      </c>
      <c r="AI88" s="76">
        <f t="shared" si="50"/>
        <v>45.631386446250012</v>
      </c>
      <c r="AJ88" s="76">
        <f t="shared" si="51"/>
        <v>35.833522766250006</v>
      </c>
      <c r="AK88" s="93"/>
      <c r="AL88" s="93"/>
      <c r="AM88" s="93"/>
      <c r="AN88" s="93"/>
      <c r="AO88" s="93"/>
      <c r="AP88" s="93"/>
    </row>
    <row r="89" spans="1:42" ht="12.75" customHeight="1" x14ac:dyDescent="0.25">
      <c r="A89" s="93">
        <v>55</v>
      </c>
      <c r="B89" s="105" t="s">
        <v>127</v>
      </c>
      <c r="C89" s="96"/>
      <c r="D89" s="93" t="s">
        <v>72</v>
      </c>
      <c r="E89" s="67" t="s">
        <v>73</v>
      </c>
      <c r="F89" s="57">
        <v>4.1500000000000004</v>
      </c>
      <c r="G89" s="68">
        <f t="shared" si="26"/>
        <v>19.168567800000005</v>
      </c>
      <c r="H89" s="69">
        <v>0.34560000000000002</v>
      </c>
      <c r="I89" s="70">
        <f t="shared" si="27"/>
        <v>12.275712000000002</v>
      </c>
      <c r="J89" s="70">
        <f t="shared" si="28"/>
        <v>5.5240704000000012</v>
      </c>
      <c r="K89" s="70">
        <f t="shared" si="29"/>
        <v>2.0438781870000007</v>
      </c>
      <c r="L89" s="70">
        <f t="shared" si="30"/>
        <v>1.6050214830000002</v>
      </c>
      <c r="M89" s="70">
        <f t="shared" si="31"/>
        <v>7.0325131772700011</v>
      </c>
      <c r="N89" s="70">
        <f t="shared" si="32"/>
        <v>5.5225085334300008</v>
      </c>
      <c r="O89" s="70">
        <f t="shared" si="33"/>
        <v>40.520671164270013</v>
      </c>
      <c r="P89" s="70">
        <f t="shared" si="34"/>
        <v>31.820168216430005</v>
      </c>
      <c r="Q89" s="71">
        <f t="shared" si="35"/>
        <v>8.7005029478400076</v>
      </c>
      <c r="R89" s="54">
        <f t="shared" si="36"/>
        <v>0.21471764158516371</v>
      </c>
      <c r="S89" s="72">
        <v>105.99</v>
      </c>
      <c r="T89" s="55">
        <v>0.2</v>
      </c>
      <c r="U89" s="71">
        <f t="shared" si="37"/>
        <v>105.99</v>
      </c>
      <c r="V89" s="71">
        <f t="shared" si="38"/>
        <v>24.378</v>
      </c>
      <c r="W89" s="71">
        <f t="shared" si="39"/>
        <v>5.1193799999999996</v>
      </c>
      <c r="X89" s="71">
        <f t="shared" si="40"/>
        <v>4.347511813716797</v>
      </c>
      <c r="Y89" s="71">
        <f t="shared" si="41"/>
        <v>5.7395922853712005</v>
      </c>
      <c r="Z89" s="71">
        <f t="shared" si="42"/>
        <v>0</v>
      </c>
      <c r="AA89" s="71">
        <f t="shared" si="43"/>
        <v>0</v>
      </c>
      <c r="AB89" s="73">
        <f t="shared" si="44"/>
        <v>22.824437022013182</v>
      </c>
      <c r="AC89" s="56">
        <f t="shared" si="45"/>
        <v>0.21534519315042158</v>
      </c>
      <c r="AD89" s="73">
        <f t="shared" si="46"/>
        <v>30.132859498198798</v>
      </c>
      <c r="AE89" s="56">
        <f t="shared" si="47"/>
        <v>0.28429908008490234</v>
      </c>
      <c r="AF89" s="74">
        <f t="shared" si="48"/>
        <v>70.143101799828514</v>
      </c>
      <c r="AG89" s="74">
        <f t="shared" si="49"/>
        <v>58.664865720883917</v>
      </c>
      <c r="AH89" s="75">
        <v>5</v>
      </c>
      <c r="AI89" s="76">
        <f t="shared" si="50"/>
        <v>45.631386446250012</v>
      </c>
      <c r="AJ89" s="76">
        <f t="shared" si="51"/>
        <v>35.833522766250006</v>
      </c>
      <c r="AK89" s="93"/>
      <c r="AL89" s="93"/>
      <c r="AM89" s="93"/>
      <c r="AN89" s="93"/>
      <c r="AO89" s="93"/>
      <c r="AP89" s="93"/>
    </row>
    <row r="90" spans="1:42" ht="12.75" customHeight="1" x14ac:dyDescent="0.25">
      <c r="A90" s="93">
        <v>56</v>
      </c>
      <c r="B90" s="105" t="s">
        <v>128</v>
      </c>
      <c r="C90" s="96"/>
      <c r="D90" s="93" t="s">
        <v>72</v>
      </c>
      <c r="E90" s="67" t="s">
        <v>73</v>
      </c>
      <c r="F90" s="57">
        <v>6.9</v>
      </c>
      <c r="G90" s="68">
        <f t="shared" si="26"/>
        <v>31.870630800000004</v>
      </c>
      <c r="H90" s="69">
        <v>3.3439999999999999</v>
      </c>
      <c r="I90" s="70">
        <f t="shared" si="27"/>
        <v>118.77888</v>
      </c>
      <c r="J90" s="70">
        <f t="shared" si="28"/>
        <v>53.450496000000001</v>
      </c>
      <c r="K90" s="70">
        <f t="shared" si="29"/>
        <v>9.7922182020000008</v>
      </c>
      <c r="L90" s="70">
        <f t="shared" si="30"/>
        <v>5.5458732419999999</v>
      </c>
      <c r="M90" s="70">
        <f t="shared" si="31"/>
        <v>33.692763090419994</v>
      </c>
      <c r="N90" s="70">
        <f t="shared" si="32"/>
        <v>19.082070008820001</v>
      </c>
      <c r="O90" s="70">
        <f t="shared" si="33"/>
        <v>194.13449209241998</v>
      </c>
      <c r="P90" s="70">
        <f t="shared" si="34"/>
        <v>109.94907005082</v>
      </c>
      <c r="Q90" s="71">
        <f t="shared" si="35"/>
        <v>84.185422041599978</v>
      </c>
      <c r="R90" s="54">
        <f t="shared" si="36"/>
        <v>0.43364484659182834</v>
      </c>
      <c r="S90" s="72">
        <v>150.99</v>
      </c>
      <c r="T90" s="55">
        <v>0.2</v>
      </c>
      <c r="U90" s="71">
        <f t="shared" si="37"/>
        <v>150.99</v>
      </c>
      <c r="V90" s="71">
        <f t="shared" si="38"/>
        <v>33.378000000000007</v>
      </c>
      <c r="W90" s="71">
        <f t="shared" si="39"/>
        <v>7.0093800000000011</v>
      </c>
      <c r="X90" s="71">
        <f t="shared" si="40"/>
        <v>-14.773099534787193</v>
      </c>
      <c r="Y90" s="71">
        <f t="shared" si="41"/>
        <v>-1.303432008131199</v>
      </c>
      <c r="Z90" s="71">
        <f t="shared" si="42"/>
        <v>0</v>
      </c>
      <c r="AA90" s="71">
        <f t="shared" si="43"/>
        <v>0</v>
      </c>
      <c r="AB90" s="73">
        <f t="shared" si="44"/>
        <v>-77.558772557632764</v>
      </c>
      <c r="AC90" s="56">
        <f t="shared" si="45"/>
        <v>-0.51366827311499275</v>
      </c>
      <c r="AD90" s="73">
        <f t="shared" si="46"/>
        <v>-6.843018042688783</v>
      </c>
      <c r="AE90" s="56">
        <f t="shared" si="47"/>
        <v>-4.5321001673546475E-2</v>
      </c>
      <c r="AF90" s="74">
        <f t="shared" si="48"/>
        <v>272.79985764171499</v>
      </c>
      <c r="AG90" s="74">
        <f t="shared" si="49"/>
        <v>161.73729558155674</v>
      </c>
      <c r="AH90" s="75">
        <v>5</v>
      </c>
      <c r="AI90" s="76">
        <f t="shared" si="50"/>
        <v>218.61992352749996</v>
      </c>
      <c r="AJ90" s="76">
        <f t="shared" si="51"/>
        <v>123.81652032749999</v>
      </c>
      <c r="AK90" s="93"/>
      <c r="AL90" s="93"/>
      <c r="AM90" s="93"/>
      <c r="AN90" s="93"/>
      <c r="AO90" s="93"/>
      <c r="AP90" s="93"/>
    </row>
    <row r="91" spans="1:42" ht="12.75" customHeight="1" x14ac:dyDescent="0.25">
      <c r="A91" s="93"/>
      <c r="B91" s="93"/>
      <c r="D91" s="93"/>
      <c r="E91" s="67"/>
      <c r="F91" s="58"/>
      <c r="G91" s="68"/>
      <c r="H91" s="69"/>
      <c r="I91" s="70"/>
      <c r="J91" s="70"/>
      <c r="K91" s="70"/>
      <c r="L91" s="70"/>
      <c r="M91" s="70"/>
      <c r="N91" s="70"/>
      <c r="O91" s="70"/>
      <c r="P91" s="70"/>
      <c r="Q91" s="71"/>
      <c r="R91" s="54"/>
      <c r="S91" s="72"/>
      <c r="T91" s="55"/>
      <c r="U91" s="71"/>
      <c r="V91" s="71"/>
      <c r="W91" s="71"/>
      <c r="X91" s="71"/>
      <c r="Y91" s="71"/>
      <c r="Z91" s="71"/>
      <c r="AA91" s="71"/>
      <c r="AB91" s="73"/>
      <c r="AC91" s="56"/>
      <c r="AD91" s="73"/>
      <c r="AE91" s="56"/>
      <c r="AF91" s="74"/>
      <c r="AG91" s="74"/>
      <c r="AH91" s="75"/>
      <c r="AI91" s="76"/>
      <c r="AJ91" s="76"/>
      <c r="AK91" s="93"/>
      <c r="AL91" s="93"/>
      <c r="AM91" s="93"/>
      <c r="AN91" s="93"/>
      <c r="AO91" s="93"/>
      <c r="AP91" s="93"/>
    </row>
    <row r="92" spans="1:42" ht="12.75" customHeight="1" x14ac:dyDescent="0.25">
      <c r="A92" s="93"/>
      <c r="B92" s="93"/>
      <c r="D92" s="93"/>
      <c r="E92" s="67"/>
      <c r="F92" s="58"/>
      <c r="G92" s="68"/>
      <c r="H92" s="69"/>
      <c r="I92" s="70"/>
      <c r="J92" s="70"/>
      <c r="K92" s="70"/>
      <c r="L92" s="70"/>
      <c r="M92" s="70"/>
      <c r="N92" s="70"/>
      <c r="O92" s="70"/>
      <c r="P92" s="70"/>
      <c r="Q92" s="71"/>
      <c r="R92" s="54"/>
      <c r="S92" s="72"/>
      <c r="T92" s="55"/>
      <c r="U92" s="71"/>
      <c r="V92" s="71"/>
      <c r="W92" s="71"/>
      <c r="X92" s="71"/>
      <c r="Y92" s="71"/>
      <c r="Z92" s="71"/>
      <c r="AA92" s="71"/>
      <c r="AB92" s="73"/>
      <c r="AC92" s="56"/>
      <c r="AD92" s="73"/>
      <c r="AE92" s="56"/>
      <c r="AF92" s="74"/>
      <c r="AG92" s="74"/>
      <c r="AH92" s="75"/>
      <c r="AI92" s="76"/>
      <c r="AJ92" s="76"/>
      <c r="AK92" s="93"/>
      <c r="AL92" s="93"/>
      <c r="AM92" s="93"/>
      <c r="AN92" s="93"/>
      <c r="AO92" s="93"/>
      <c r="AP92" s="93"/>
    </row>
    <row r="93" spans="1:42" ht="12.75" customHeight="1" x14ac:dyDescent="0.25">
      <c r="A93" s="93"/>
      <c r="B93" s="93"/>
      <c r="D93" s="93"/>
      <c r="E93" s="67"/>
      <c r="F93" s="58"/>
      <c r="G93" s="68"/>
      <c r="H93" s="69"/>
      <c r="I93" s="70"/>
      <c r="J93" s="70"/>
      <c r="K93" s="70"/>
      <c r="L93" s="70"/>
      <c r="M93" s="70"/>
      <c r="N93" s="70"/>
      <c r="O93" s="70"/>
      <c r="P93" s="70"/>
      <c r="Q93" s="71"/>
      <c r="R93" s="54"/>
      <c r="S93" s="72"/>
      <c r="T93" s="55"/>
      <c r="U93" s="71"/>
      <c r="V93" s="71"/>
      <c r="W93" s="71"/>
      <c r="X93" s="71"/>
      <c r="Y93" s="71"/>
      <c r="Z93" s="71"/>
      <c r="AA93" s="71"/>
      <c r="AB93" s="73"/>
      <c r="AC93" s="56"/>
      <c r="AD93" s="73"/>
      <c r="AE93" s="56"/>
      <c r="AF93" s="74"/>
      <c r="AG93" s="74"/>
      <c r="AH93" s="75"/>
      <c r="AI93" s="76"/>
      <c r="AJ93" s="76"/>
      <c r="AK93" s="93"/>
      <c r="AL93" s="93"/>
      <c r="AM93" s="93"/>
      <c r="AN93" s="93"/>
      <c r="AO93" s="93"/>
      <c r="AP93" s="93"/>
    </row>
    <row r="94" spans="1:42" ht="12.75" customHeight="1" x14ac:dyDescent="0.25">
      <c r="A94" s="93"/>
      <c r="B94" s="93"/>
      <c r="D94" s="93"/>
      <c r="E94" s="67"/>
      <c r="F94" s="58"/>
      <c r="G94" s="68"/>
      <c r="H94" s="69"/>
      <c r="I94" s="70"/>
      <c r="J94" s="70"/>
      <c r="K94" s="70"/>
      <c r="L94" s="70"/>
      <c r="M94" s="70"/>
      <c r="N94" s="70"/>
      <c r="O94" s="70"/>
      <c r="P94" s="70"/>
      <c r="Q94" s="71"/>
      <c r="R94" s="54"/>
      <c r="S94" s="72"/>
      <c r="T94" s="55"/>
      <c r="U94" s="71"/>
      <c r="V94" s="71"/>
      <c r="W94" s="71"/>
      <c r="X94" s="71"/>
      <c r="Y94" s="71"/>
      <c r="Z94" s="71"/>
      <c r="AA94" s="71"/>
      <c r="AB94" s="73"/>
      <c r="AC94" s="56"/>
      <c r="AD94" s="73"/>
      <c r="AE94" s="56"/>
      <c r="AF94" s="74"/>
      <c r="AG94" s="74"/>
      <c r="AH94" s="75"/>
      <c r="AI94" s="76"/>
      <c r="AJ94" s="76"/>
      <c r="AK94" s="93"/>
      <c r="AL94" s="93"/>
      <c r="AM94" s="93"/>
      <c r="AN94" s="93"/>
      <c r="AO94" s="93"/>
      <c r="AP94" s="93"/>
    </row>
    <row r="95" spans="1:42" ht="12.75" customHeight="1" x14ac:dyDescent="0.25">
      <c r="A95" s="93"/>
      <c r="B95" s="93"/>
      <c r="D95" s="93"/>
      <c r="E95" s="67"/>
      <c r="F95" s="58"/>
      <c r="G95" s="68"/>
      <c r="H95" s="69"/>
      <c r="I95" s="70"/>
      <c r="J95" s="70"/>
      <c r="K95" s="70"/>
      <c r="L95" s="70"/>
      <c r="M95" s="70"/>
      <c r="N95" s="70"/>
      <c r="O95" s="70"/>
      <c r="P95" s="70"/>
      <c r="Q95" s="71"/>
      <c r="R95" s="54"/>
      <c r="S95" s="72"/>
      <c r="T95" s="55"/>
      <c r="U95" s="71"/>
      <c r="V95" s="71"/>
      <c r="W95" s="71"/>
      <c r="X95" s="71"/>
      <c r="Y95" s="71"/>
      <c r="Z95" s="71"/>
      <c r="AA95" s="71"/>
      <c r="AB95" s="73"/>
      <c r="AC95" s="56"/>
      <c r="AD95" s="73"/>
      <c r="AE95" s="56"/>
      <c r="AF95" s="74"/>
      <c r="AG95" s="74"/>
      <c r="AH95" s="75"/>
      <c r="AI95" s="76"/>
      <c r="AJ95" s="76"/>
      <c r="AK95" s="93"/>
      <c r="AL95" s="93"/>
      <c r="AM95" s="93"/>
      <c r="AN95" s="93"/>
      <c r="AO95" s="93"/>
      <c r="AP95" s="93"/>
    </row>
    <row r="96" spans="1:42" ht="12.75" customHeight="1" x14ac:dyDescent="0.25">
      <c r="A96" s="93"/>
      <c r="B96" s="93"/>
      <c r="D96" s="93"/>
      <c r="E96" s="67"/>
      <c r="F96" s="58"/>
      <c r="G96" s="68"/>
      <c r="H96" s="69"/>
      <c r="I96" s="70"/>
      <c r="J96" s="70"/>
      <c r="K96" s="70"/>
      <c r="L96" s="70"/>
      <c r="M96" s="70"/>
      <c r="N96" s="70"/>
      <c r="O96" s="70"/>
      <c r="P96" s="70"/>
      <c r="Q96" s="71"/>
      <c r="R96" s="54"/>
      <c r="S96" s="72"/>
      <c r="T96" s="55"/>
      <c r="U96" s="71"/>
      <c r="V96" s="71"/>
      <c r="W96" s="71"/>
      <c r="X96" s="71"/>
      <c r="Y96" s="71"/>
      <c r="Z96" s="71"/>
      <c r="AA96" s="71"/>
      <c r="AB96" s="73"/>
      <c r="AC96" s="56"/>
      <c r="AD96" s="73"/>
      <c r="AE96" s="56"/>
      <c r="AF96" s="74"/>
      <c r="AG96" s="74"/>
      <c r="AH96" s="75"/>
      <c r="AI96" s="76"/>
      <c r="AJ96" s="76"/>
      <c r="AK96" s="93"/>
      <c r="AL96" s="93"/>
      <c r="AM96" s="93"/>
      <c r="AN96" s="93"/>
      <c r="AO96" s="93"/>
      <c r="AP96" s="93"/>
    </row>
    <row r="97" spans="1:42" ht="12.75" customHeight="1" x14ac:dyDescent="0.25">
      <c r="A97" s="93"/>
      <c r="B97" s="93"/>
      <c r="D97" s="93"/>
      <c r="E97" s="67"/>
      <c r="F97" s="58"/>
      <c r="G97" s="68"/>
      <c r="H97" s="69"/>
      <c r="I97" s="70"/>
      <c r="J97" s="70"/>
      <c r="K97" s="70"/>
      <c r="L97" s="70"/>
      <c r="M97" s="70"/>
      <c r="N97" s="70"/>
      <c r="O97" s="70"/>
      <c r="P97" s="70"/>
      <c r="Q97" s="71"/>
      <c r="R97" s="54"/>
      <c r="S97" s="77"/>
      <c r="T97" s="55"/>
      <c r="U97" s="71"/>
      <c r="V97" s="71"/>
      <c r="W97" s="71"/>
      <c r="X97" s="71"/>
      <c r="Y97" s="71"/>
      <c r="Z97" s="71"/>
      <c r="AA97" s="71"/>
      <c r="AB97" s="73"/>
      <c r="AC97" s="56"/>
      <c r="AD97" s="73"/>
      <c r="AE97" s="56"/>
      <c r="AF97" s="74"/>
      <c r="AG97" s="74"/>
      <c r="AH97" s="75"/>
      <c r="AI97" s="76"/>
      <c r="AJ97" s="76"/>
      <c r="AK97" s="93"/>
      <c r="AL97" s="93"/>
      <c r="AM97" s="93"/>
      <c r="AN97" s="93"/>
      <c r="AO97" s="93"/>
      <c r="AP97" s="93"/>
    </row>
    <row r="98" spans="1:42" ht="12.75" customHeight="1" x14ac:dyDescent="0.25">
      <c r="A98" s="93"/>
      <c r="B98" s="93"/>
      <c r="D98" s="93"/>
      <c r="E98" s="67"/>
      <c r="F98" s="58"/>
      <c r="G98" s="68"/>
      <c r="H98" s="69"/>
      <c r="I98" s="70"/>
      <c r="J98" s="70"/>
      <c r="K98" s="70"/>
      <c r="L98" s="70"/>
      <c r="M98" s="70"/>
      <c r="N98" s="70"/>
      <c r="O98" s="70"/>
      <c r="P98" s="70"/>
      <c r="Q98" s="71"/>
      <c r="R98" s="54"/>
      <c r="S98" s="77"/>
      <c r="T98" s="55"/>
      <c r="U98" s="71"/>
      <c r="V98" s="71"/>
      <c r="W98" s="71"/>
      <c r="X98" s="71"/>
      <c r="Y98" s="71"/>
      <c r="Z98" s="71"/>
      <c r="AA98" s="71"/>
      <c r="AB98" s="73"/>
      <c r="AC98" s="56"/>
      <c r="AD98" s="73"/>
      <c r="AE98" s="56"/>
      <c r="AF98" s="74"/>
      <c r="AG98" s="74"/>
      <c r="AH98" s="75"/>
      <c r="AI98" s="76"/>
      <c r="AJ98" s="76"/>
      <c r="AK98" s="93"/>
      <c r="AL98" s="93"/>
      <c r="AM98" s="93"/>
      <c r="AN98" s="93"/>
      <c r="AO98" s="93"/>
      <c r="AP98" s="93"/>
    </row>
    <row r="99" spans="1:42" ht="12.75" customHeight="1" x14ac:dyDescent="0.25">
      <c r="A99" s="93"/>
      <c r="B99" s="93"/>
      <c r="D99" s="93"/>
      <c r="E99" s="67"/>
      <c r="F99" s="58"/>
      <c r="G99" s="68"/>
      <c r="H99" s="69"/>
      <c r="I99" s="70"/>
      <c r="J99" s="70"/>
      <c r="K99" s="70"/>
      <c r="L99" s="70"/>
      <c r="M99" s="70"/>
      <c r="N99" s="70"/>
      <c r="O99" s="70"/>
      <c r="P99" s="70"/>
      <c r="Q99" s="71"/>
      <c r="R99" s="54"/>
      <c r="S99" s="77"/>
      <c r="T99" s="55"/>
      <c r="U99" s="71"/>
      <c r="V99" s="71"/>
      <c r="W99" s="71"/>
      <c r="X99" s="71"/>
      <c r="Y99" s="71"/>
      <c r="Z99" s="71"/>
      <c r="AA99" s="71"/>
      <c r="AB99" s="73"/>
      <c r="AC99" s="56"/>
      <c r="AD99" s="73"/>
      <c r="AE99" s="56"/>
      <c r="AF99" s="74"/>
      <c r="AG99" s="74"/>
      <c r="AH99" s="75"/>
      <c r="AI99" s="76"/>
      <c r="AJ99" s="76"/>
      <c r="AK99" s="93"/>
      <c r="AL99" s="93"/>
      <c r="AM99" s="93"/>
      <c r="AN99" s="93"/>
      <c r="AO99" s="93"/>
      <c r="AP99" s="93"/>
    </row>
    <row r="100" spans="1:42" ht="12.75" customHeight="1" x14ac:dyDescent="0.25">
      <c r="A100" s="93"/>
      <c r="B100" s="93"/>
      <c r="D100" s="93"/>
      <c r="E100" s="67"/>
      <c r="F100" s="58"/>
      <c r="G100" s="68"/>
      <c r="H100" s="69"/>
      <c r="I100" s="70"/>
      <c r="J100" s="70"/>
      <c r="K100" s="70"/>
      <c r="L100" s="70"/>
      <c r="M100" s="70"/>
      <c r="N100" s="70"/>
      <c r="O100" s="70"/>
      <c r="P100" s="70"/>
      <c r="Q100" s="71"/>
      <c r="R100" s="54"/>
      <c r="S100" s="77"/>
      <c r="T100" s="55"/>
      <c r="U100" s="71"/>
      <c r="V100" s="71"/>
      <c r="W100" s="71"/>
      <c r="X100" s="71"/>
      <c r="Y100" s="71"/>
      <c r="Z100" s="71"/>
      <c r="AA100" s="71"/>
      <c r="AB100" s="73"/>
      <c r="AC100" s="56"/>
      <c r="AD100" s="73"/>
      <c r="AE100" s="56"/>
      <c r="AF100" s="74"/>
      <c r="AG100" s="74"/>
      <c r="AH100" s="75"/>
      <c r="AI100" s="76"/>
      <c r="AJ100" s="76"/>
      <c r="AK100" s="93"/>
      <c r="AL100" s="93"/>
      <c r="AM100" s="93"/>
      <c r="AN100" s="93"/>
      <c r="AO100" s="93"/>
      <c r="AP100" s="93"/>
    </row>
    <row r="101" spans="1:42" ht="12.75" customHeight="1" x14ac:dyDescent="0.25">
      <c r="A101" s="93"/>
      <c r="B101" s="93"/>
      <c r="D101" s="93"/>
      <c r="E101" s="67"/>
      <c r="F101" s="58"/>
      <c r="G101" s="68"/>
      <c r="H101" s="69"/>
      <c r="I101" s="70"/>
      <c r="J101" s="70"/>
      <c r="K101" s="70"/>
      <c r="L101" s="70"/>
      <c r="M101" s="70"/>
      <c r="N101" s="70"/>
      <c r="O101" s="70"/>
      <c r="P101" s="70"/>
      <c r="Q101" s="71"/>
      <c r="R101" s="54"/>
      <c r="S101" s="77"/>
      <c r="T101" s="55"/>
      <c r="U101" s="71"/>
      <c r="V101" s="71"/>
      <c r="W101" s="71"/>
      <c r="X101" s="71"/>
      <c r="Y101" s="71"/>
      <c r="Z101" s="71"/>
      <c r="AA101" s="71"/>
      <c r="AB101" s="73"/>
      <c r="AC101" s="56"/>
      <c r="AD101" s="73"/>
      <c r="AE101" s="56"/>
      <c r="AF101" s="74"/>
      <c r="AG101" s="74"/>
      <c r="AH101" s="75"/>
      <c r="AI101" s="76"/>
      <c r="AJ101" s="76"/>
      <c r="AK101" s="93"/>
      <c r="AL101" s="93"/>
      <c r="AM101" s="93"/>
      <c r="AN101" s="93"/>
      <c r="AO101" s="93"/>
      <c r="AP101" s="93"/>
    </row>
    <row r="102" spans="1:42" ht="12.75" customHeight="1" x14ac:dyDescent="0.25">
      <c r="A102" s="93"/>
      <c r="B102" s="93"/>
      <c r="D102" s="93"/>
      <c r="E102" s="67"/>
      <c r="F102" s="58"/>
      <c r="G102" s="68"/>
      <c r="H102" s="69"/>
      <c r="I102" s="70"/>
      <c r="J102" s="70"/>
      <c r="K102" s="70"/>
      <c r="L102" s="70"/>
      <c r="M102" s="70"/>
      <c r="N102" s="70"/>
      <c r="O102" s="70"/>
      <c r="P102" s="70"/>
      <c r="Q102" s="71"/>
      <c r="R102" s="54"/>
      <c r="S102" s="77"/>
      <c r="T102" s="55"/>
      <c r="U102" s="71"/>
      <c r="V102" s="71"/>
      <c r="W102" s="71"/>
      <c r="X102" s="71"/>
      <c r="Y102" s="71"/>
      <c r="Z102" s="71"/>
      <c r="AA102" s="71"/>
      <c r="AB102" s="73"/>
      <c r="AC102" s="56"/>
      <c r="AD102" s="73"/>
      <c r="AE102" s="56"/>
      <c r="AF102" s="74"/>
      <c r="AG102" s="74"/>
      <c r="AH102" s="75"/>
      <c r="AI102" s="76"/>
      <c r="AJ102" s="76"/>
      <c r="AK102" s="93"/>
      <c r="AL102" s="93"/>
      <c r="AM102" s="93"/>
      <c r="AN102" s="93"/>
      <c r="AO102" s="93"/>
      <c r="AP102" s="93"/>
    </row>
    <row r="103" spans="1:42" ht="12.75" customHeight="1" x14ac:dyDescent="0.25">
      <c r="A103" s="93"/>
      <c r="B103" s="93"/>
      <c r="D103" s="93"/>
      <c r="E103" s="67"/>
      <c r="F103" s="58"/>
      <c r="G103" s="68"/>
      <c r="H103" s="69"/>
      <c r="I103" s="70"/>
      <c r="J103" s="70"/>
      <c r="K103" s="70"/>
      <c r="L103" s="70"/>
      <c r="M103" s="70"/>
      <c r="N103" s="70"/>
      <c r="O103" s="70"/>
      <c r="P103" s="70"/>
      <c r="Q103" s="71"/>
      <c r="R103" s="54"/>
      <c r="S103" s="77"/>
      <c r="T103" s="55"/>
      <c r="U103" s="71"/>
      <c r="V103" s="71"/>
      <c r="W103" s="71"/>
      <c r="X103" s="71"/>
      <c r="Y103" s="71"/>
      <c r="Z103" s="71"/>
      <c r="AA103" s="71"/>
      <c r="AB103" s="73"/>
      <c r="AC103" s="56"/>
      <c r="AD103" s="73"/>
      <c r="AE103" s="56"/>
      <c r="AF103" s="74"/>
      <c r="AG103" s="74"/>
      <c r="AH103" s="75"/>
      <c r="AI103" s="76"/>
      <c r="AJ103" s="76"/>
      <c r="AK103" s="93"/>
      <c r="AL103" s="93"/>
      <c r="AM103" s="93"/>
      <c r="AN103" s="93"/>
      <c r="AO103" s="93"/>
      <c r="AP103" s="93"/>
    </row>
    <row r="104" spans="1:42" ht="12.75" customHeight="1" x14ac:dyDescent="0.25">
      <c r="A104" s="93"/>
      <c r="B104" s="93"/>
      <c r="D104" s="93"/>
      <c r="E104" s="67"/>
      <c r="F104" s="58"/>
      <c r="G104" s="68"/>
      <c r="H104" s="69"/>
      <c r="I104" s="70"/>
      <c r="J104" s="70"/>
      <c r="K104" s="70"/>
      <c r="L104" s="70"/>
      <c r="M104" s="70"/>
      <c r="N104" s="70"/>
      <c r="O104" s="70"/>
      <c r="P104" s="70"/>
      <c r="Q104" s="71"/>
      <c r="R104" s="54"/>
      <c r="S104" s="72"/>
      <c r="T104" s="55"/>
      <c r="U104" s="71"/>
      <c r="V104" s="71"/>
      <c r="W104" s="71"/>
      <c r="X104" s="71"/>
      <c r="Y104" s="71"/>
      <c r="Z104" s="71"/>
      <c r="AA104" s="71"/>
      <c r="AB104" s="73"/>
      <c r="AC104" s="56"/>
      <c r="AD104" s="73"/>
      <c r="AE104" s="56"/>
      <c r="AF104" s="74"/>
      <c r="AG104" s="74"/>
      <c r="AH104" s="75"/>
      <c r="AI104" s="76"/>
      <c r="AJ104" s="76"/>
      <c r="AK104" s="93"/>
      <c r="AL104" s="93"/>
      <c r="AM104" s="93"/>
      <c r="AN104" s="93"/>
      <c r="AO104" s="93"/>
      <c r="AP104" s="93"/>
    </row>
    <row r="105" spans="1:42" ht="12.75" customHeight="1" x14ac:dyDescent="0.25">
      <c r="A105" s="93"/>
      <c r="B105" s="93"/>
      <c r="D105" s="93"/>
      <c r="E105" s="67"/>
      <c r="F105" s="58"/>
      <c r="G105" s="68"/>
      <c r="H105" s="69"/>
      <c r="I105" s="70"/>
      <c r="J105" s="70"/>
      <c r="K105" s="70"/>
      <c r="L105" s="70"/>
      <c r="M105" s="70"/>
      <c r="N105" s="70"/>
      <c r="O105" s="70"/>
      <c r="P105" s="70"/>
      <c r="Q105" s="71"/>
      <c r="R105" s="54"/>
      <c r="S105" s="78"/>
      <c r="T105" s="55"/>
      <c r="U105" s="71"/>
      <c r="V105" s="71"/>
      <c r="W105" s="71"/>
      <c r="X105" s="71"/>
      <c r="Y105" s="71"/>
      <c r="Z105" s="71"/>
      <c r="AA105" s="71"/>
      <c r="AB105" s="73"/>
      <c r="AC105" s="56"/>
      <c r="AD105" s="73"/>
      <c r="AE105" s="56"/>
      <c r="AF105" s="74"/>
      <c r="AG105" s="74"/>
      <c r="AH105" s="75"/>
      <c r="AI105" s="76"/>
      <c r="AJ105" s="76"/>
      <c r="AK105" s="93"/>
      <c r="AL105" s="93"/>
      <c r="AM105" s="93"/>
      <c r="AN105" s="93"/>
      <c r="AO105" s="93"/>
      <c r="AP105" s="93"/>
    </row>
    <row r="106" spans="1:42" ht="12.75" customHeight="1" x14ac:dyDescent="0.25">
      <c r="A106" s="93"/>
      <c r="B106" s="93"/>
      <c r="D106" s="93"/>
      <c r="E106" s="67"/>
      <c r="F106" s="58"/>
      <c r="G106" s="68"/>
      <c r="H106" s="69"/>
      <c r="I106" s="70"/>
      <c r="J106" s="70"/>
      <c r="K106" s="70"/>
      <c r="L106" s="70"/>
      <c r="M106" s="70"/>
      <c r="N106" s="70"/>
      <c r="O106" s="70"/>
      <c r="P106" s="70"/>
      <c r="Q106" s="71"/>
      <c r="R106" s="54"/>
      <c r="S106" s="77"/>
      <c r="T106" s="55"/>
      <c r="U106" s="71"/>
      <c r="V106" s="71"/>
      <c r="W106" s="71"/>
      <c r="X106" s="71"/>
      <c r="Y106" s="71"/>
      <c r="Z106" s="71"/>
      <c r="AA106" s="71"/>
      <c r="AB106" s="73"/>
      <c r="AC106" s="56"/>
      <c r="AD106" s="73"/>
      <c r="AE106" s="56"/>
      <c r="AF106" s="74"/>
      <c r="AG106" s="74"/>
      <c r="AH106" s="75"/>
      <c r="AI106" s="76"/>
      <c r="AJ106" s="76"/>
      <c r="AK106" s="93"/>
      <c r="AL106" s="93"/>
      <c r="AM106" s="93"/>
      <c r="AN106" s="93"/>
      <c r="AO106" s="93"/>
      <c r="AP106" s="93"/>
    </row>
    <row r="107" spans="1:42" ht="12.75" customHeight="1" x14ac:dyDescent="0.25">
      <c r="A107" s="93"/>
      <c r="B107" s="93"/>
      <c r="D107" s="93"/>
      <c r="E107" s="67"/>
      <c r="F107" s="58"/>
      <c r="G107" s="68"/>
      <c r="H107" s="69"/>
      <c r="I107" s="70"/>
      <c r="J107" s="70"/>
      <c r="K107" s="70"/>
      <c r="L107" s="70"/>
      <c r="M107" s="70"/>
      <c r="N107" s="70"/>
      <c r="O107" s="70"/>
      <c r="P107" s="70"/>
      <c r="Q107" s="71"/>
      <c r="R107" s="54"/>
      <c r="S107" s="77"/>
      <c r="T107" s="55"/>
      <c r="U107" s="71"/>
      <c r="V107" s="71"/>
      <c r="W107" s="71"/>
      <c r="X107" s="71"/>
      <c r="Y107" s="71"/>
      <c r="Z107" s="71"/>
      <c r="AA107" s="71"/>
      <c r="AB107" s="73"/>
      <c r="AC107" s="56"/>
      <c r="AD107" s="73"/>
      <c r="AE107" s="56"/>
      <c r="AF107" s="74"/>
      <c r="AG107" s="74"/>
      <c r="AH107" s="75"/>
      <c r="AI107" s="76"/>
      <c r="AJ107" s="76"/>
      <c r="AK107" s="93"/>
      <c r="AL107" s="93"/>
      <c r="AM107" s="93"/>
      <c r="AN107" s="93"/>
      <c r="AO107" s="93"/>
      <c r="AP107" s="93"/>
    </row>
    <row r="108" spans="1:42" ht="12.75" customHeight="1" x14ac:dyDescent="0.25">
      <c r="A108" s="93"/>
      <c r="B108" s="93"/>
      <c r="D108" s="93"/>
      <c r="E108" s="67"/>
      <c r="F108" s="58"/>
      <c r="G108" s="68"/>
      <c r="H108" s="69"/>
      <c r="I108" s="70"/>
      <c r="J108" s="70"/>
      <c r="K108" s="70"/>
      <c r="L108" s="70"/>
      <c r="M108" s="70"/>
      <c r="N108" s="70"/>
      <c r="O108" s="70"/>
      <c r="P108" s="70"/>
      <c r="Q108" s="71"/>
      <c r="R108" s="54"/>
      <c r="S108" s="72"/>
      <c r="T108" s="55"/>
      <c r="U108" s="71"/>
      <c r="V108" s="71"/>
      <c r="W108" s="71"/>
      <c r="X108" s="71"/>
      <c r="Y108" s="71"/>
      <c r="Z108" s="71"/>
      <c r="AA108" s="71"/>
      <c r="AB108" s="73"/>
      <c r="AC108" s="56"/>
      <c r="AD108" s="73"/>
      <c r="AE108" s="56"/>
      <c r="AF108" s="74"/>
      <c r="AG108" s="74"/>
      <c r="AH108" s="75"/>
      <c r="AI108" s="76"/>
      <c r="AJ108" s="76"/>
      <c r="AK108" s="93"/>
      <c r="AL108" s="93"/>
      <c r="AM108" s="93"/>
      <c r="AN108" s="93"/>
      <c r="AO108" s="93"/>
      <c r="AP108" s="93"/>
    </row>
    <row r="109" spans="1:42" ht="12.75" customHeight="1" x14ac:dyDescent="0.25">
      <c r="A109" s="93"/>
      <c r="B109" s="93"/>
      <c r="D109" s="93"/>
      <c r="E109" s="67"/>
      <c r="F109" s="58"/>
      <c r="G109" s="68"/>
      <c r="H109" s="69"/>
      <c r="I109" s="70"/>
      <c r="J109" s="70"/>
      <c r="K109" s="70"/>
      <c r="L109" s="70"/>
      <c r="M109" s="70"/>
      <c r="N109" s="70"/>
      <c r="O109" s="70"/>
      <c r="P109" s="70"/>
      <c r="Q109" s="71"/>
      <c r="R109" s="54"/>
      <c r="S109" s="77"/>
      <c r="T109" s="55"/>
      <c r="U109" s="71"/>
      <c r="V109" s="71"/>
      <c r="W109" s="71"/>
      <c r="X109" s="71"/>
      <c r="Y109" s="71"/>
      <c r="Z109" s="71"/>
      <c r="AA109" s="71"/>
      <c r="AB109" s="73"/>
      <c r="AC109" s="56"/>
      <c r="AD109" s="73"/>
      <c r="AE109" s="56"/>
      <c r="AF109" s="74"/>
      <c r="AG109" s="74"/>
      <c r="AH109" s="75"/>
      <c r="AI109" s="76"/>
      <c r="AJ109" s="76"/>
      <c r="AK109" s="93"/>
      <c r="AL109" s="93"/>
      <c r="AM109" s="93"/>
      <c r="AN109" s="93"/>
      <c r="AO109" s="93"/>
      <c r="AP109" s="93"/>
    </row>
    <row r="110" spans="1:42" ht="12.75" customHeight="1" x14ac:dyDescent="0.25">
      <c r="A110" s="93"/>
      <c r="B110" s="93"/>
      <c r="D110" s="93"/>
      <c r="E110" s="67"/>
      <c r="F110" s="58"/>
      <c r="G110" s="68"/>
      <c r="H110" s="69"/>
      <c r="I110" s="70"/>
      <c r="J110" s="70"/>
      <c r="K110" s="70"/>
      <c r="L110" s="70"/>
      <c r="M110" s="70"/>
      <c r="N110" s="70"/>
      <c r="O110" s="70"/>
      <c r="P110" s="70"/>
      <c r="Q110" s="71"/>
      <c r="R110" s="54"/>
      <c r="S110" s="72"/>
      <c r="T110" s="55"/>
      <c r="U110" s="71"/>
      <c r="V110" s="71"/>
      <c r="W110" s="71"/>
      <c r="X110" s="71"/>
      <c r="Y110" s="71"/>
      <c r="Z110" s="71"/>
      <c r="AA110" s="71"/>
      <c r="AB110" s="73"/>
      <c r="AC110" s="56"/>
      <c r="AD110" s="73"/>
      <c r="AE110" s="56"/>
      <c r="AF110" s="74"/>
      <c r="AG110" s="74"/>
      <c r="AH110" s="75"/>
      <c r="AI110" s="76"/>
      <c r="AJ110" s="76"/>
      <c r="AK110" s="93"/>
      <c r="AL110" s="93"/>
      <c r="AM110" s="93"/>
      <c r="AN110" s="93"/>
      <c r="AO110" s="93"/>
      <c r="AP110" s="93"/>
    </row>
    <row r="111" spans="1:42" ht="12.75" customHeight="1" x14ac:dyDescent="0.25">
      <c r="A111" s="93"/>
      <c r="B111" s="93"/>
      <c r="D111" s="93"/>
      <c r="E111" s="67"/>
      <c r="F111" s="58"/>
      <c r="G111" s="68"/>
      <c r="H111" s="69"/>
      <c r="I111" s="70"/>
      <c r="J111" s="70"/>
      <c r="K111" s="70"/>
      <c r="L111" s="70"/>
      <c r="M111" s="70"/>
      <c r="N111" s="70"/>
      <c r="O111" s="70"/>
      <c r="P111" s="70"/>
      <c r="Q111" s="71"/>
      <c r="R111" s="54"/>
      <c r="S111" s="72"/>
      <c r="T111" s="55"/>
      <c r="U111" s="71"/>
      <c r="V111" s="71"/>
      <c r="W111" s="71"/>
      <c r="X111" s="71"/>
      <c r="Y111" s="71"/>
      <c r="Z111" s="71"/>
      <c r="AA111" s="71"/>
      <c r="AB111" s="73"/>
      <c r="AC111" s="56"/>
      <c r="AD111" s="73"/>
      <c r="AE111" s="56"/>
      <c r="AF111" s="74"/>
      <c r="AG111" s="74"/>
      <c r="AH111" s="75"/>
      <c r="AI111" s="76"/>
      <c r="AJ111" s="76"/>
      <c r="AK111" s="93"/>
      <c r="AL111" s="93"/>
      <c r="AM111" s="93"/>
      <c r="AN111" s="93"/>
      <c r="AO111" s="93"/>
      <c r="AP111" s="93"/>
    </row>
    <row r="112" spans="1:42" ht="12.75" customHeight="1" x14ac:dyDescent="0.25">
      <c r="A112" s="93"/>
      <c r="B112" s="93"/>
      <c r="D112" s="93"/>
      <c r="E112" s="67"/>
      <c r="F112" s="58"/>
      <c r="G112" s="68"/>
      <c r="H112" s="69"/>
      <c r="I112" s="70"/>
      <c r="J112" s="70"/>
      <c r="K112" s="70"/>
      <c r="L112" s="70"/>
      <c r="M112" s="70"/>
      <c r="N112" s="70"/>
      <c r="O112" s="70"/>
      <c r="P112" s="70"/>
      <c r="Q112" s="71"/>
      <c r="R112" s="54"/>
      <c r="S112" s="72"/>
      <c r="T112" s="55"/>
      <c r="U112" s="71"/>
      <c r="V112" s="71"/>
      <c r="W112" s="71"/>
      <c r="X112" s="71"/>
      <c r="Y112" s="71"/>
      <c r="Z112" s="71"/>
      <c r="AA112" s="71"/>
      <c r="AB112" s="73"/>
      <c r="AC112" s="56"/>
      <c r="AD112" s="73"/>
      <c r="AE112" s="56"/>
      <c r="AF112" s="74"/>
      <c r="AG112" s="74"/>
      <c r="AH112" s="75"/>
      <c r="AI112" s="76"/>
      <c r="AJ112" s="76"/>
      <c r="AK112" s="93"/>
      <c r="AL112" s="93"/>
      <c r="AM112" s="93"/>
      <c r="AN112" s="93"/>
      <c r="AO112" s="93"/>
      <c r="AP112" s="93"/>
    </row>
    <row r="113" spans="1:42" ht="12.75" customHeight="1" x14ac:dyDescent="0.25">
      <c r="A113" s="93"/>
      <c r="B113" s="93"/>
      <c r="D113" s="93"/>
      <c r="E113" s="67"/>
      <c r="F113" s="58"/>
      <c r="G113" s="68"/>
      <c r="H113" s="69"/>
      <c r="I113" s="70"/>
      <c r="J113" s="70"/>
      <c r="K113" s="70"/>
      <c r="L113" s="70"/>
      <c r="M113" s="70"/>
      <c r="N113" s="70"/>
      <c r="O113" s="70"/>
      <c r="P113" s="70"/>
      <c r="Q113" s="71"/>
      <c r="R113" s="54"/>
      <c r="S113" s="77"/>
      <c r="T113" s="55"/>
      <c r="U113" s="71"/>
      <c r="V113" s="71"/>
      <c r="W113" s="71"/>
      <c r="X113" s="71"/>
      <c r="Y113" s="71"/>
      <c r="Z113" s="71"/>
      <c r="AA113" s="71"/>
      <c r="AB113" s="73"/>
      <c r="AC113" s="56"/>
      <c r="AD113" s="73"/>
      <c r="AE113" s="56"/>
      <c r="AF113" s="74"/>
      <c r="AG113" s="74"/>
      <c r="AH113" s="75"/>
      <c r="AI113" s="76"/>
      <c r="AJ113" s="76"/>
      <c r="AK113" s="93"/>
      <c r="AL113" s="93"/>
      <c r="AM113" s="93"/>
      <c r="AN113" s="93"/>
      <c r="AO113" s="93"/>
      <c r="AP113" s="93"/>
    </row>
    <row r="114" spans="1:42" ht="12.75" customHeight="1" x14ac:dyDescent="0.25">
      <c r="A114" s="93"/>
      <c r="B114" s="93"/>
      <c r="D114" s="93"/>
      <c r="E114" s="67"/>
      <c r="F114" s="58"/>
      <c r="G114" s="68"/>
      <c r="H114" s="69"/>
      <c r="I114" s="70"/>
      <c r="J114" s="70"/>
      <c r="K114" s="70"/>
      <c r="L114" s="70"/>
      <c r="M114" s="70"/>
      <c r="N114" s="70"/>
      <c r="O114" s="70"/>
      <c r="P114" s="70"/>
      <c r="Q114" s="71"/>
      <c r="R114" s="54"/>
      <c r="S114" s="77"/>
      <c r="T114" s="55"/>
      <c r="U114" s="71"/>
      <c r="V114" s="71"/>
      <c r="W114" s="71"/>
      <c r="X114" s="71"/>
      <c r="Y114" s="71"/>
      <c r="Z114" s="71"/>
      <c r="AA114" s="71"/>
      <c r="AB114" s="73"/>
      <c r="AC114" s="56"/>
      <c r="AD114" s="73"/>
      <c r="AE114" s="56"/>
      <c r="AF114" s="74"/>
      <c r="AG114" s="74"/>
      <c r="AH114" s="75"/>
      <c r="AI114" s="76"/>
      <c r="AJ114" s="76"/>
      <c r="AK114" s="93"/>
      <c r="AL114" s="93"/>
      <c r="AM114" s="93"/>
      <c r="AN114" s="93"/>
      <c r="AO114" s="93"/>
      <c r="AP114" s="93"/>
    </row>
    <row r="115" spans="1:42" ht="12.75" customHeight="1" x14ac:dyDescent="0.25">
      <c r="A115" s="93"/>
      <c r="B115" s="93"/>
      <c r="D115" s="93"/>
      <c r="E115" s="67"/>
      <c r="F115" s="58"/>
      <c r="G115" s="68"/>
      <c r="H115" s="69"/>
      <c r="I115" s="70"/>
      <c r="J115" s="70"/>
      <c r="K115" s="70"/>
      <c r="L115" s="70"/>
      <c r="M115" s="70"/>
      <c r="N115" s="70"/>
      <c r="O115" s="70"/>
      <c r="P115" s="70"/>
      <c r="Q115" s="71"/>
      <c r="R115" s="54"/>
      <c r="S115" s="72"/>
      <c r="T115" s="55"/>
      <c r="U115" s="71"/>
      <c r="V115" s="71"/>
      <c r="W115" s="71"/>
      <c r="X115" s="71"/>
      <c r="Y115" s="71"/>
      <c r="Z115" s="71"/>
      <c r="AA115" s="71"/>
      <c r="AB115" s="73"/>
      <c r="AC115" s="56"/>
      <c r="AD115" s="73"/>
      <c r="AE115" s="56"/>
      <c r="AF115" s="74"/>
      <c r="AG115" s="74"/>
      <c r="AH115" s="75"/>
      <c r="AI115" s="76"/>
      <c r="AJ115" s="76"/>
      <c r="AK115" s="93"/>
      <c r="AL115" s="93"/>
      <c r="AM115" s="93"/>
      <c r="AN115" s="93"/>
      <c r="AO115" s="93"/>
      <c r="AP115" s="93"/>
    </row>
    <row r="116" spans="1:42" ht="12.75" customHeight="1" x14ac:dyDescent="0.25">
      <c r="A116" s="93"/>
      <c r="B116" s="93"/>
      <c r="D116" s="93"/>
      <c r="E116" s="67"/>
      <c r="F116" s="58"/>
      <c r="G116" s="68"/>
      <c r="H116" s="69"/>
      <c r="I116" s="70"/>
      <c r="J116" s="70"/>
      <c r="K116" s="70"/>
      <c r="L116" s="70"/>
      <c r="M116" s="70"/>
      <c r="N116" s="70"/>
      <c r="O116" s="70"/>
      <c r="P116" s="70"/>
      <c r="Q116" s="71"/>
      <c r="R116" s="54"/>
      <c r="S116" s="77"/>
      <c r="T116" s="55"/>
      <c r="U116" s="71"/>
      <c r="V116" s="71"/>
      <c r="W116" s="71"/>
      <c r="X116" s="71"/>
      <c r="Y116" s="71"/>
      <c r="Z116" s="71"/>
      <c r="AA116" s="71"/>
      <c r="AB116" s="73"/>
      <c r="AC116" s="56"/>
      <c r="AD116" s="73"/>
      <c r="AE116" s="56"/>
      <c r="AF116" s="74"/>
      <c r="AG116" s="74"/>
      <c r="AH116" s="75"/>
      <c r="AI116" s="76"/>
      <c r="AJ116" s="76"/>
      <c r="AK116" s="93"/>
      <c r="AL116" s="93"/>
      <c r="AM116" s="93"/>
      <c r="AN116" s="93"/>
      <c r="AO116" s="93"/>
      <c r="AP116" s="93"/>
    </row>
    <row r="117" spans="1:42" ht="12.75" customHeight="1" x14ac:dyDescent="0.25">
      <c r="A117" s="93"/>
      <c r="B117" s="93"/>
      <c r="D117" s="93"/>
      <c r="E117" s="67"/>
      <c r="F117" s="58"/>
      <c r="G117" s="68"/>
      <c r="H117" s="69"/>
      <c r="I117" s="70"/>
      <c r="J117" s="70"/>
      <c r="K117" s="70"/>
      <c r="L117" s="70"/>
      <c r="M117" s="70"/>
      <c r="N117" s="70"/>
      <c r="O117" s="70"/>
      <c r="P117" s="70"/>
      <c r="Q117" s="71"/>
      <c r="R117" s="54"/>
      <c r="S117" s="77"/>
      <c r="T117" s="55"/>
      <c r="U117" s="71"/>
      <c r="V117" s="71"/>
      <c r="W117" s="71"/>
      <c r="X117" s="71"/>
      <c r="Y117" s="71"/>
      <c r="Z117" s="71"/>
      <c r="AA117" s="71"/>
      <c r="AB117" s="73"/>
      <c r="AC117" s="56"/>
      <c r="AD117" s="73"/>
      <c r="AE117" s="56"/>
      <c r="AF117" s="74"/>
      <c r="AG117" s="74"/>
      <c r="AH117" s="75"/>
      <c r="AI117" s="76"/>
      <c r="AJ117" s="76"/>
      <c r="AK117" s="93"/>
      <c r="AL117" s="93"/>
      <c r="AM117" s="93"/>
      <c r="AN117" s="93"/>
      <c r="AO117" s="93"/>
      <c r="AP117" s="93"/>
    </row>
    <row r="118" spans="1:42" ht="12.75" customHeight="1" x14ac:dyDescent="0.25">
      <c r="A118" s="93"/>
      <c r="B118" s="93"/>
      <c r="D118" s="93"/>
      <c r="E118" s="67"/>
      <c r="F118" s="58"/>
      <c r="G118" s="68"/>
      <c r="H118" s="69"/>
      <c r="I118" s="70"/>
      <c r="J118" s="70"/>
      <c r="K118" s="70"/>
      <c r="L118" s="70"/>
      <c r="M118" s="70"/>
      <c r="N118" s="70"/>
      <c r="O118" s="70"/>
      <c r="P118" s="70"/>
      <c r="Q118" s="71"/>
      <c r="R118" s="54"/>
      <c r="S118" s="72"/>
      <c r="T118" s="55"/>
      <c r="U118" s="71"/>
      <c r="V118" s="71"/>
      <c r="W118" s="71"/>
      <c r="X118" s="71"/>
      <c r="Y118" s="71"/>
      <c r="Z118" s="71"/>
      <c r="AA118" s="71"/>
      <c r="AB118" s="73"/>
      <c r="AC118" s="56"/>
      <c r="AD118" s="73"/>
      <c r="AE118" s="56"/>
      <c r="AF118" s="74"/>
      <c r="AG118" s="74"/>
      <c r="AH118" s="75"/>
      <c r="AI118" s="76"/>
      <c r="AJ118" s="76"/>
      <c r="AK118" s="93"/>
      <c r="AL118" s="93"/>
      <c r="AM118" s="93"/>
      <c r="AN118" s="93"/>
      <c r="AO118" s="93"/>
      <c r="AP118" s="93"/>
    </row>
    <row r="119" spans="1:42" ht="12.75" customHeight="1" x14ac:dyDescent="0.25">
      <c r="A119" s="93"/>
      <c r="B119" s="93"/>
      <c r="D119" s="93"/>
      <c r="E119" s="67"/>
      <c r="F119" s="58"/>
      <c r="G119" s="68"/>
      <c r="H119" s="69"/>
      <c r="I119" s="70"/>
      <c r="J119" s="70"/>
      <c r="K119" s="70"/>
      <c r="L119" s="70"/>
      <c r="M119" s="70"/>
      <c r="N119" s="70"/>
      <c r="O119" s="70"/>
      <c r="P119" s="70"/>
      <c r="Q119" s="71"/>
      <c r="R119" s="54"/>
      <c r="S119" s="72"/>
      <c r="T119" s="55"/>
      <c r="U119" s="71"/>
      <c r="V119" s="71"/>
      <c r="W119" s="71"/>
      <c r="X119" s="71"/>
      <c r="Y119" s="71"/>
      <c r="Z119" s="71"/>
      <c r="AA119" s="71"/>
      <c r="AB119" s="73"/>
      <c r="AC119" s="56"/>
      <c r="AD119" s="73"/>
      <c r="AE119" s="56"/>
      <c r="AF119" s="74"/>
      <c r="AG119" s="74"/>
      <c r="AH119" s="75"/>
      <c r="AI119" s="76"/>
      <c r="AJ119" s="76"/>
      <c r="AK119" s="93"/>
      <c r="AL119" s="93"/>
      <c r="AM119" s="93"/>
      <c r="AN119" s="93"/>
      <c r="AO119" s="93"/>
      <c r="AP119" s="93"/>
    </row>
    <row r="120" spans="1:42" ht="12.75" customHeight="1" x14ac:dyDescent="0.25">
      <c r="A120" s="93"/>
      <c r="B120" s="93"/>
      <c r="D120" s="93"/>
      <c r="E120" s="67"/>
      <c r="F120" s="58"/>
      <c r="G120" s="68"/>
      <c r="H120" s="69"/>
      <c r="I120" s="70"/>
      <c r="J120" s="70"/>
      <c r="K120" s="70"/>
      <c r="L120" s="70"/>
      <c r="M120" s="70"/>
      <c r="N120" s="70"/>
      <c r="O120" s="70"/>
      <c r="P120" s="70"/>
      <c r="Q120" s="71"/>
      <c r="R120" s="54"/>
      <c r="S120" s="72"/>
      <c r="T120" s="55"/>
      <c r="U120" s="71"/>
      <c r="V120" s="71"/>
      <c r="W120" s="71"/>
      <c r="X120" s="71"/>
      <c r="Y120" s="71"/>
      <c r="Z120" s="71"/>
      <c r="AA120" s="71"/>
      <c r="AB120" s="73"/>
      <c r="AC120" s="56"/>
      <c r="AD120" s="73"/>
      <c r="AE120" s="56"/>
      <c r="AF120" s="74"/>
      <c r="AG120" s="74"/>
      <c r="AH120" s="75"/>
      <c r="AI120" s="76"/>
      <c r="AJ120" s="76"/>
      <c r="AK120" s="93"/>
      <c r="AL120" s="93"/>
      <c r="AM120" s="93"/>
      <c r="AN120" s="93"/>
      <c r="AO120" s="93"/>
      <c r="AP120" s="93"/>
    </row>
    <row r="121" spans="1:42" ht="12.75" customHeight="1" x14ac:dyDescent="0.25">
      <c r="A121" s="93"/>
      <c r="B121" s="93"/>
      <c r="D121" s="93"/>
      <c r="E121" s="67"/>
      <c r="F121" s="58"/>
      <c r="G121" s="68"/>
      <c r="H121" s="69"/>
      <c r="I121" s="70"/>
      <c r="J121" s="70"/>
      <c r="K121" s="70"/>
      <c r="L121" s="70"/>
      <c r="M121" s="70"/>
      <c r="N121" s="70"/>
      <c r="O121" s="70"/>
      <c r="P121" s="70"/>
      <c r="Q121" s="71"/>
      <c r="R121" s="54"/>
      <c r="S121" s="72"/>
      <c r="T121" s="55"/>
      <c r="U121" s="71"/>
      <c r="V121" s="71"/>
      <c r="W121" s="71"/>
      <c r="X121" s="71"/>
      <c r="Y121" s="71"/>
      <c r="Z121" s="71"/>
      <c r="AA121" s="71"/>
      <c r="AB121" s="73"/>
      <c r="AC121" s="56"/>
      <c r="AD121" s="73"/>
      <c r="AE121" s="56"/>
      <c r="AF121" s="74"/>
      <c r="AG121" s="74"/>
      <c r="AH121" s="75"/>
      <c r="AI121" s="76"/>
      <c r="AJ121" s="76"/>
      <c r="AK121" s="93"/>
      <c r="AL121" s="93"/>
      <c r="AM121" s="93"/>
      <c r="AN121" s="93"/>
      <c r="AO121" s="93"/>
      <c r="AP121" s="93"/>
    </row>
    <row r="122" spans="1:42" ht="12.75" customHeight="1" x14ac:dyDescent="0.25">
      <c r="A122" s="93"/>
      <c r="B122" s="93"/>
      <c r="D122" s="93"/>
      <c r="E122" s="67"/>
      <c r="F122" s="58"/>
      <c r="G122" s="68"/>
      <c r="H122" s="69"/>
      <c r="I122" s="70"/>
      <c r="J122" s="70"/>
      <c r="K122" s="70"/>
      <c r="L122" s="70"/>
      <c r="M122" s="70"/>
      <c r="N122" s="70"/>
      <c r="O122" s="70"/>
      <c r="P122" s="70"/>
      <c r="Q122" s="71"/>
      <c r="R122" s="54"/>
      <c r="S122" s="77"/>
      <c r="T122" s="55"/>
      <c r="U122" s="71"/>
      <c r="V122" s="71"/>
      <c r="W122" s="71"/>
      <c r="X122" s="71"/>
      <c r="Y122" s="71"/>
      <c r="Z122" s="71"/>
      <c r="AA122" s="71"/>
      <c r="AB122" s="73"/>
      <c r="AC122" s="56"/>
      <c r="AD122" s="73"/>
      <c r="AE122" s="56"/>
      <c r="AF122" s="74"/>
      <c r="AG122" s="74"/>
      <c r="AH122" s="75"/>
      <c r="AI122" s="76"/>
      <c r="AJ122" s="76"/>
      <c r="AK122" s="93"/>
      <c r="AL122" s="93"/>
      <c r="AM122" s="93"/>
      <c r="AN122" s="93"/>
      <c r="AO122" s="93"/>
      <c r="AP122" s="93"/>
    </row>
    <row r="123" spans="1:42" ht="12.75" customHeight="1" x14ac:dyDescent="0.25">
      <c r="A123" s="93"/>
      <c r="B123" s="93"/>
      <c r="D123" s="93"/>
      <c r="E123" s="67"/>
      <c r="F123" s="58"/>
      <c r="G123" s="68"/>
      <c r="H123" s="69"/>
      <c r="I123" s="70"/>
      <c r="J123" s="70"/>
      <c r="K123" s="70"/>
      <c r="L123" s="70"/>
      <c r="M123" s="70"/>
      <c r="N123" s="70"/>
      <c r="O123" s="70"/>
      <c r="P123" s="70"/>
      <c r="Q123" s="71"/>
      <c r="R123" s="54"/>
      <c r="S123" s="72"/>
      <c r="T123" s="55"/>
      <c r="U123" s="71"/>
      <c r="V123" s="71"/>
      <c r="W123" s="71"/>
      <c r="X123" s="71"/>
      <c r="Y123" s="71"/>
      <c r="Z123" s="71"/>
      <c r="AA123" s="71"/>
      <c r="AB123" s="73"/>
      <c r="AC123" s="56"/>
      <c r="AD123" s="73"/>
      <c r="AE123" s="56"/>
      <c r="AF123" s="74"/>
      <c r="AG123" s="74"/>
      <c r="AH123" s="75"/>
      <c r="AI123" s="76"/>
      <c r="AJ123" s="76"/>
      <c r="AK123" s="93"/>
      <c r="AL123" s="93"/>
      <c r="AM123" s="93"/>
      <c r="AN123" s="93"/>
      <c r="AO123" s="93"/>
      <c r="AP123" s="93"/>
    </row>
    <row r="124" spans="1:42" ht="12.75" customHeight="1" x14ac:dyDescent="0.25">
      <c r="A124" s="93"/>
      <c r="B124" s="93"/>
      <c r="D124" s="93"/>
      <c r="E124" s="67"/>
      <c r="F124" s="58"/>
      <c r="G124" s="68"/>
      <c r="H124" s="69"/>
      <c r="I124" s="70"/>
      <c r="J124" s="70"/>
      <c r="K124" s="70"/>
      <c r="L124" s="70"/>
      <c r="M124" s="70"/>
      <c r="N124" s="70"/>
      <c r="O124" s="70"/>
      <c r="P124" s="70"/>
      <c r="Q124" s="71"/>
      <c r="R124" s="54"/>
      <c r="S124" s="72"/>
      <c r="T124" s="55"/>
      <c r="U124" s="71"/>
      <c r="V124" s="71"/>
      <c r="W124" s="71"/>
      <c r="X124" s="71"/>
      <c r="Y124" s="71"/>
      <c r="Z124" s="71"/>
      <c r="AA124" s="71"/>
      <c r="AB124" s="73"/>
      <c r="AC124" s="56"/>
      <c r="AD124" s="73"/>
      <c r="AE124" s="56"/>
      <c r="AF124" s="74"/>
      <c r="AG124" s="74"/>
      <c r="AH124" s="75"/>
      <c r="AI124" s="76"/>
      <c r="AJ124" s="76"/>
      <c r="AK124" s="93"/>
      <c r="AL124" s="93"/>
      <c r="AM124" s="93"/>
      <c r="AN124" s="93"/>
      <c r="AO124" s="93"/>
      <c r="AP124" s="93"/>
    </row>
    <row r="125" spans="1:42" ht="12.75" customHeight="1" x14ac:dyDescent="0.25">
      <c r="A125" s="93"/>
      <c r="B125" s="93"/>
      <c r="D125" s="93"/>
      <c r="E125" s="67"/>
      <c r="F125" s="58"/>
      <c r="G125" s="68"/>
      <c r="H125" s="69"/>
      <c r="I125" s="70"/>
      <c r="J125" s="70"/>
      <c r="K125" s="70"/>
      <c r="L125" s="70"/>
      <c r="M125" s="70"/>
      <c r="N125" s="70"/>
      <c r="O125" s="70"/>
      <c r="P125" s="70"/>
      <c r="Q125" s="71"/>
      <c r="R125" s="54"/>
      <c r="S125" s="72"/>
      <c r="T125" s="55"/>
      <c r="U125" s="71"/>
      <c r="V125" s="71"/>
      <c r="W125" s="71"/>
      <c r="X125" s="71"/>
      <c r="Y125" s="71"/>
      <c r="Z125" s="71"/>
      <c r="AA125" s="71"/>
      <c r="AB125" s="73"/>
      <c r="AC125" s="56"/>
      <c r="AD125" s="73"/>
      <c r="AE125" s="56"/>
      <c r="AF125" s="74"/>
      <c r="AG125" s="74"/>
      <c r="AH125" s="75"/>
      <c r="AI125" s="76"/>
      <c r="AJ125" s="76"/>
      <c r="AK125" s="93"/>
      <c r="AL125" s="93"/>
      <c r="AM125" s="93"/>
      <c r="AN125" s="93"/>
      <c r="AO125" s="93"/>
      <c r="AP125" s="93"/>
    </row>
    <row r="126" spans="1:42" ht="12.75" customHeight="1" x14ac:dyDescent="0.25">
      <c r="A126" s="93"/>
      <c r="B126" s="93"/>
      <c r="D126" s="93"/>
      <c r="E126" s="67"/>
      <c r="F126" s="58"/>
      <c r="G126" s="68"/>
      <c r="H126" s="69"/>
      <c r="I126" s="70"/>
      <c r="J126" s="70"/>
      <c r="K126" s="70"/>
      <c r="L126" s="70"/>
      <c r="M126" s="70"/>
      <c r="N126" s="70"/>
      <c r="O126" s="70"/>
      <c r="P126" s="70"/>
      <c r="Q126" s="71"/>
      <c r="R126" s="54"/>
      <c r="S126" s="77"/>
      <c r="T126" s="55"/>
      <c r="U126" s="71"/>
      <c r="V126" s="71"/>
      <c r="W126" s="71"/>
      <c r="X126" s="71"/>
      <c r="Y126" s="71"/>
      <c r="Z126" s="71"/>
      <c r="AA126" s="71"/>
      <c r="AB126" s="73"/>
      <c r="AC126" s="56"/>
      <c r="AD126" s="73"/>
      <c r="AE126" s="56"/>
      <c r="AF126" s="74"/>
      <c r="AG126" s="74"/>
      <c r="AH126" s="75"/>
      <c r="AI126" s="76"/>
      <c r="AJ126" s="76"/>
      <c r="AK126" s="93"/>
      <c r="AL126" s="93"/>
      <c r="AM126" s="93"/>
      <c r="AN126" s="93"/>
      <c r="AO126" s="93"/>
      <c r="AP126" s="93"/>
    </row>
    <row r="127" spans="1:42" ht="12.75" customHeight="1" x14ac:dyDescent="0.25">
      <c r="A127" s="93"/>
      <c r="B127" s="93"/>
      <c r="D127" s="93"/>
      <c r="E127" s="67"/>
      <c r="F127" s="58"/>
      <c r="G127" s="68"/>
      <c r="H127" s="69"/>
      <c r="I127" s="70"/>
      <c r="J127" s="70"/>
      <c r="K127" s="70"/>
      <c r="L127" s="70"/>
      <c r="M127" s="70"/>
      <c r="N127" s="70"/>
      <c r="O127" s="70"/>
      <c r="P127" s="70"/>
      <c r="Q127" s="71"/>
      <c r="R127" s="54"/>
      <c r="S127" s="77"/>
      <c r="T127" s="55"/>
      <c r="U127" s="71"/>
      <c r="V127" s="71"/>
      <c r="W127" s="71"/>
      <c r="X127" s="71"/>
      <c r="Y127" s="71"/>
      <c r="Z127" s="71"/>
      <c r="AA127" s="71"/>
      <c r="AB127" s="73"/>
      <c r="AC127" s="56"/>
      <c r="AD127" s="73"/>
      <c r="AE127" s="56"/>
      <c r="AF127" s="74"/>
      <c r="AG127" s="74"/>
      <c r="AH127" s="75"/>
      <c r="AI127" s="76"/>
      <c r="AJ127" s="76"/>
      <c r="AK127" s="93"/>
      <c r="AL127" s="93"/>
      <c r="AM127" s="93"/>
      <c r="AN127" s="93"/>
      <c r="AO127" s="93"/>
      <c r="AP127" s="93"/>
    </row>
    <row r="128" spans="1:42" ht="12.75" customHeight="1" x14ac:dyDescent="0.25">
      <c r="A128" s="93"/>
      <c r="B128" s="93"/>
      <c r="D128" s="93"/>
      <c r="E128" s="67"/>
      <c r="F128" s="58"/>
      <c r="G128" s="68"/>
      <c r="H128" s="69"/>
      <c r="I128" s="70"/>
      <c r="J128" s="70"/>
      <c r="K128" s="70"/>
      <c r="L128" s="70"/>
      <c r="M128" s="70"/>
      <c r="N128" s="70"/>
      <c r="O128" s="70"/>
      <c r="P128" s="70"/>
      <c r="Q128" s="71"/>
      <c r="R128" s="54"/>
      <c r="S128" s="72"/>
      <c r="T128" s="55"/>
      <c r="U128" s="71"/>
      <c r="V128" s="71"/>
      <c r="W128" s="71"/>
      <c r="X128" s="71"/>
      <c r="Y128" s="71"/>
      <c r="Z128" s="71"/>
      <c r="AA128" s="71"/>
      <c r="AB128" s="73"/>
      <c r="AC128" s="56"/>
      <c r="AD128" s="73"/>
      <c r="AE128" s="56"/>
      <c r="AF128" s="74"/>
      <c r="AG128" s="74"/>
      <c r="AH128" s="75"/>
      <c r="AI128" s="76"/>
      <c r="AJ128" s="76"/>
      <c r="AK128" s="93"/>
      <c r="AL128" s="93"/>
      <c r="AM128" s="93"/>
      <c r="AN128" s="93"/>
      <c r="AO128" s="93"/>
      <c r="AP128" s="93"/>
    </row>
    <row r="129" spans="1:42" ht="12.75" customHeight="1" x14ac:dyDescent="0.25">
      <c r="A129" s="93"/>
      <c r="B129" s="93"/>
      <c r="D129" s="93"/>
      <c r="E129" s="67"/>
      <c r="F129" s="58"/>
      <c r="G129" s="68"/>
      <c r="H129" s="69"/>
      <c r="I129" s="70"/>
      <c r="J129" s="70"/>
      <c r="K129" s="70"/>
      <c r="L129" s="70"/>
      <c r="M129" s="70"/>
      <c r="N129" s="70"/>
      <c r="O129" s="70"/>
      <c r="P129" s="70"/>
      <c r="Q129" s="71"/>
      <c r="R129" s="54"/>
      <c r="S129" s="72"/>
      <c r="T129" s="55"/>
      <c r="U129" s="71"/>
      <c r="V129" s="71"/>
      <c r="W129" s="71"/>
      <c r="X129" s="71"/>
      <c r="Y129" s="71"/>
      <c r="Z129" s="71"/>
      <c r="AA129" s="71"/>
      <c r="AB129" s="73"/>
      <c r="AC129" s="56"/>
      <c r="AD129" s="73"/>
      <c r="AE129" s="56"/>
      <c r="AF129" s="74"/>
      <c r="AG129" s="74"/>
      <c r="AH129" s="75"/>
      <c r="AI129" s="76"/>
      <c r="AJ129" s="76"/>
      <c r="AK129" s="93"/>
      <c r="AL129" s="93"/>
      <c r="AM129" s="93"/>
      <c r="AN129" s="93"/>
      <c r="AO129" s="93"/>
      <c r="AP129" s="93"/>
    </row>
    <row r="130" spans="1:42" ht="12.75" customHeight="1" x14ac:dyDescent="0.25">
      <c r="A130" s="93"/>
      <c r="B130" s="93"/>
      <c r="D130" s="93"/>
      <c r="E130" s="67"/>
      <c r="F130" s="58"/>
      <c r="G130" s="68"/>
      <c r="H130" s="69"/>
      <c r="I130" s="70"/>
      <c r="J130" s="70"/>
      <c r="K130" s="70"/>
      <c r="L130" s="70"/>
      <c r="M130" s="70"/>
      <c r="N130" s="70"/>
      <c r="O130" s="70"/>
      <c r="P130" s="70"/>
      <c r="Q130" s="71"/>
      <c r="R130" s="54"/>
      <c r="S130" s="72"/>
      <c r="T130" s="55"/>
      <c r="U130" s="71"/>
      <c r="V130" s="71"/>
      <c r="W130" s="71"/>
      <c r="X130" s="71"/>
      <c r="Y130" s="71"/>
      <c r="Z130" s="71"/>
      <c r="AA130" s="71"/>
      <c r="AB130" s="73"/>
      <c r="AC130" s="56"/>
      <c r="AD130" s="73"/>
      <c r="AE130" s="56"/>
      <c r="AF130" s="74"/>
      <c r="AG130" s="74"/>
      <c r="AH130" s="75"/>
      <c r="AI130" s="76"/>
      <c r="AJ130" s="76"/>
      <c r="AK130" s="93"/>
      <c r="AL130" s="93"/>
      <c r="AM130" s="93"/>
      <c r="AN130" s="93"/>
      <c r="AO130" s="93"/>
      <c r="AP130" s="93"/>
    </row>
    <row r="131" spans="1:42" ht="12.75" customHeight="1" x14ac:dyDescent="0.25">
      <c r="A131" s="93"/>
      <c r="B131" s="93"/>
      <c r="D131" s="93"/>
      <c r="E131" s="67"/>
      <c r="F131" s="58"/>
      <c r="G131" s="68"/>
      <c r="H131" s="69"/>
      <c r="I131" s="70"/>
      <c r="J131" s="70"/>
      <c r="K131" s="70"/>
      <c r="L131" s="70"/>
      <c r="M131" s="70"/>
      <c r="N131" s="70"/>
      <c r="O131" s="70"/>
      <c r="P131" s="70"/>
      <c r="Q131" s="71"/>
      <c r="R131" s="54"/>
      <c r="S131" s="72"/>
      <c r="T131" s="55"/>
      <c r="U131" s="71"/>
      <c r="V131" s="71"/>
      <c r="W131" s="71"/>
      <c r="X131" s="71"/>
      <c r="Y131" s="71"/>
      <c r="Z131" s="71"/>
      <c r="AA131" s="71"/>
      <c r="AB131" s="73"/>
      <c r="AC131" s="56"/>
      <c r="AD131" s="73"/>
      <c r="AE131" s="56"/>
      <c r="AF131" s="74"/>
      <c r="AG131" s="74"/>
      <c r="AH131" s="75"/>
      <c r="AI131" s="76"/>
      <c r="AJ131" s="76"/>
      <c r="AK131" s="93"/>
      <c r="AL131" s="93"/>
      <c r="AM131" s="93"/>
      <c r="AN131" s="93"/>
      <c r="AO131" s="93"/>
      <c r="AP131" s="93"/>
    </row>
    <row r="132" spans="1:42" ht="12.75" customHeight="1" x14ac:dyDescent="0.25">
      <c r="A132" s="93"/>
      <c r="B132" s="93"/>
      <c r="D132" s="93"/>
      <c r="E132" s="67"/>
      <c r="F132" s="58"/>
      <c r="G132" s="68"/>
      <c r="H132" s="69"/>
      <c r="I132" s="70"/>
      <c r="J132" s="70"/>
      <c r="K132" s="70"/>
      <c r="L132" s="70"/>
      <c r="M132" s="70"/>
      <c r="N132" s="70"/>
      <c r="O132" s="70"/>
      <c r="P132" s="70"/>
      <c r="Q132" s="71"/>
      <c r="R132" s="54"/>
      <c r="S132" s="72"/>
      <c r="T132" s="55"/>
      <c r="U132" s="71"/>
      <c r="V132" s="71"/>
      <c r="W132" s="71"/>
      <c r="X132" s="71"/>
      <c r="Y132" s="71"/>
      <c r="Z132" s="71"/>
      <c r="AA132" s="71"/>
      <c r="AB132" s="73"/>
      <c r="AC132" s="56"/>
      <c r="AD132" s="73"/>
      <c r="AE132" s="56"/>
      <c r="AF132" s="74"/>
      <c r="AG132" s="74"/>
      <c r="AH132" s="75"/>
      <c r="AI132" s="76"/>
      <c r="AJ132" s="76"/>
      <c r="AK132" s="93"/>
      <c r="AL132" s="93"/>
      <c r="AM132" s="93"/>
      <c r="AN132" s="93"/>
      <c r="AO132" s="93"/>
      <c r="AP132" s="93"/>
    </row>
    <row r="133" spans="1:42" ht="12.75" customHeight="1" x14ac:dyDescent="0.25">
      <c r="A133" s="93"/>
      <c r="B133" s="93"/>
      <c r="D133" s="93"/>
      <c r="E133" s="67"/>
      <c r="F133" s="58"/>
      <c r="G133" s="68"/>
      <c r="H133" s="69"/>
      <c r="I133" s="70"/>
      <c r="J133" s="70"/>
      <c r="K133" s="70"/>
      <c r="L133" s="70"/>
      <c r="M133" s="70"/>
      <c r="N133" s="70"/>
      <c r="O133" s="70"/>
      <c r="P133" s="70"/>
      <c r="Q133" s="71"/>
      <c r="R133" s="54"/>
      <c r="S133" s="77"/>
      <c r="T133" s="55"/>
      <c r="U133" s="71"/>
      <c r="V133" s="71"/>
      <c r="W133" s="71"/>
      <c r="X133" s="71"/>
      <c r="Y133" s="71"/>
      <c r="Z133" s="71"/>
      <c r="AA133" s="71"/>
      <c r="AB133" s="73"/>
      <c r="AC133" s="56"/>
      <c r="AD133" s="73"/>
      <c r="AE133" s="56"/>
      <c r="AF133" s="74"/>
      <c r="AG133" s="74"/>
      <c r="AH133" s="75"/>
      <c r="AI133" s="76"/>
      <c r="AJ133" s="76"/>
      <c r="AK133" s="93"/>
      <c r="AL133" s="93"/>
      <c r="AM133" s="93"/>
      <c r="AN133" s="93"/>
      <c r="AO133" s="93"/>
      <c r="AP133" s="93"/>
    </row>
    <row r="134" spans="1:42" ht="12.75" customHeight="1" x14ac:dyDescent="0.25">
      <c r="A134" s="93"/>
      <c r="B134" s="93"/>
      <c r="D134" s="93"/>
      <c r="E134" s="67"/>
      <c r="F134" s="58"/>
      <c r="G134" s="68"/>
      <c r="H134" s="69"/>
      <c r="I134" s="70"/>
      <c r="J134" s="70"/>
      <c r="K134" s="70"/>
      <c r="L134" s="70"/>
      <c r="M134" s="70"/>
      <c r="N134" s="70"/>
      <c r="O134" s="70"/>
      <c r="P134" s="70"/>
      <c r="Q134" s="71"/>
      <c r="R134" s="54"/>
      <c r="S134" s="72"/>
      <c r="T134" s="55"/>
      <c r="U134" s="71"/>
      <c r="V134" s="71"/>
      <c r="W134" s="71"/>
      <c r="X134" s="71"/>
      <c r="Y134" s="71"/>
      <c r="Z134" s="71"/>
      <c r="AA134" s="71"/>
      <c r="AB134" s="73"/>
      <c r="AC134" s="56"/>
      <c r="AD134" s="73"/>
      <c r="AE134" s="56"/>
      <c r="AF134" s="74"/>
      <c r="AG134" s="74"/>
      <c r="AH134" s="75"/>
      <c r="AI134" s="76"/>
      <c r="AJ134" s="76"/>
      <c r="AK134" s="93"/>
      <c r="AL134" s="93"/>
      <c r="AM134" s="93"/>
      <c r="AN134" s="93"/>
      <c r="AO134" s="93"/>
      <c r="AP134" s="93"/>
    </row>
    <row r="135" spans="1:42" ht="12.75" customHeight="1" x14ac:dyDescent="0.25">
      <c r="A135" s="93"/>
      <c r="B135" s="93"/>
      <c r="D135" s="93"/>
      <c r="E135" s="67"/>
      <c r="F135" s="58"/>
      <c r="G135" s="68"/>
      <c r="H135" s="69"/>
      <c r="I135" s="70"/>
      <c r="J135" s="70"/>
      <c r="K135" s="70"/>
      <c r="L135" s="70"/>
      <c r="M135" s="70"/>
      <c r="N135" s="70"/>
      <c r="O135" s="70"/>
      <c r="P135" s="70"/>
      <c r="Q135" s="71"/>
      <c r="R135" s="54"/>
      <c r="S135" s="77"/>
      <c r="T135" s="55"/>
      <c r="U135" s="71"/>
      <c r="V135" s="71"/>
      <c r="W135" s="71"/>
      <c r="X135" s="71"/>
      <c r="Y135" s="71"/>
      <c r="Z135" s="71"/>
      <c r="AA135" s="71"/>
      <c r="AB135" s="73"/>
      <c r="AC135" s="56"/>
      <c r="AD135" s="73"/>
      <c r="AE135" s="56"/>
      <c r="AF135" s="74"/>
      <c r="AG135" s="74"/>
      <c r="AH135" s="75"/>
      <c r="AI135" s="76"/>
      <c r="AJ135" s="76"/>
      <c r="AK135" s="93"/>
      <c r="AL135" s="93"/>
      <c r="AM135" s="93"/>
      <c r="AN135" s="93"/>
      <c r="AO135" s="93"/>
      <c r="AP135" s="93"/>
    </row>
    <row r="136" spans="1:42" ht="12.75" customHeight="1" x14ac:dyDescent="0.25">
      <c r="A136" s="93"/>
      <c r="B136" s="93"/>
      <c r="D136" s="93"/>
      <c r="E136" s="67"/>
      <c r="F136" s="58"/>
      <c r="G136" s="68"/>
      <c r="H136" s="69"/>
      <c r="I136" s="70"/>
      <c r="J136" s="70"/>
      <c r="K136" s="70"/>
      <c r="L136" s="70"/>
      <c r="M136" s="70"/>
      <c r="N136" s="70"/>
      <c r="O136" s="70"/>
      <c r="P136" s="70"/>
      <c r="Q136" s="71"/>
      <c r="R136" s="54"/>
      <c r="S136" s="77"/>
      <c r="T136" s="55"/>
      <c r="U136" s="71"/>
      <c r="V136" s="71"/>
      <c r="W136" s="71"/>
      <c r="X136" s="71"/>
      <c r="Y136" s="71"/>
      <c r="Z136" s="71"/>
      <c r="AA136" s="71"/>
      <c r="AB136" s="73"/>
      <c r="AC136" s="56"/>
      <c r="AD136" s="73"/>
      <c r="AE136" s="56"/>
      <c r="AF136" s="74"/>
      <c r="AG136" s="74"/>
      <c r="AH136" s="75"/>
      <c r="AI136" s="76"/>
      <c r="AJ136" s="76"/>
      <c r="AK136" s="93"/>
      <c r="AL136" s="93"/>
      <c r="AM136" s="93"/>
      <c r="AN136" s="93"/>
      <c r="AO136" s="93"/>
      <c r="AP136" s="93"/>
    </row>
    <row r="137" spans="1:42" ht="12.75" customHeight="1" x14ac:dyDescent="0.25">
      <c r="A137" s="93"/>
      <c r="B137" s="93"/>
      <c r="D137" s="93"/>
      <c r="E137" s="67"/>
      <c r="F137" s="58"/>
      <c r="G137" s="68"/>
      <c r="H137" s="69"/>
      <c r="I137" s="70"/>
      <c r="J137" s="70"/>
      <c r="K137" s="70"/>
      <c r="L137" s="70"/>
      <c r="M137" s="70"/>
      <c r="N137" s="70"/>
      <c r="O137" s="70"/>
      <c r="P137" s="70"/>
      <c r="Q137" s="71"/>
      <c r="R137" s="54"/>
      <c r="S137" s="77"/>
      <c r="T137" s="55"/>
      <c r="U137" s="71"/>
      <c r="V137" s="71"/>
      <c r="W137" s="71"/>
      <c r="X137" s="71"/>
      <c r="Y137" s="71"/>
      <c r="Z137" s="71"/>
      <c r="AA137" s="71"/>
      <c r="AB137" s="73"/>
      <c r="AC137" s="56"/>
      <c r="AD137" s="73"/>
      <c r="AE137" s="56"/>
      <c r="AF137" s="74"/>
      <c r="AG137" s="74"/>
      <c r="AH137" s="75"/>
      <c r="AI137" s="76"/>
      <c r="AJ137" s="76"/>
      <c r="AK137" s="93"/>
      <c r="AL137" s="93"/>
      <c r="AM137" s="93"/>
      <c r="AN137" s="93"/>
      <c r="AO137" s="93"/>
      <c r="AP137" s="93"/>
    </row>
    <row r="138" spans="1:42" ht="12.75" customHeight="1" x14ac:dyDescent="0.25">
      <c r="A138" s="93"/>
      <c r="B138" s="93"/>
      <c r="D138" s="93"/>
      <c r="E138" s="67"/>
      <c r="F138" s="58"/>
      <c r="G138" s="68"/>
      <c r="H138" s="69"/>
      <c r="I138" s="70"/>
      <c r="J138" s="70"/>
      <c r="K138" s="70"/>
      <c r="L138" s="70"/>
      <c r="M138" s="70"/>
      <c r="N138" s="70"/>
      <c r="O138" s="70"/>
      <c r="P138" s="70"/>
      <c r="Q138" s="71"/>
      <c r="R138" s="54"/>
      <c r="S138" s="72"/>
      <c r="T138" s="55"/>
      <c r="U138" s="71"/>
      <c r="V138" s="71"/>
      <c r="W138" s="71"/>
      <c r="X138" s="71"/>
      <c r="Y138" s="71"/>
      <c r="Z138" s="71"/>
      <c r="AA138" s="71"/>
      <c r="AB138" s="73"/>
      <c r="AC138" s="56"/>
      <c r="AD138" s="73"/>
      <c r="AE138" s="56"/>
      <c r="AF138" s="74"/>
      <c r="AG138" s="74"/>
      <c r="AH138" s="75"/>
      <c r="AI138" s="76"/>
      <c r="AJ138" s="76"/>
      <c r="AK138" s="93"/>
      <c r="AL138" s="93"/>
      <c r="AM138" s="93"/>
      <c r="AN138" s="93"/>
      <c r="AO138" s="93"/>
      <c r="AP138" s="93"/>
    </row>
    <row r="139" spans="1:42" ht="12.75" customHeight="1" x14ac:dyDescent="0.25">
      <c r="A139" s="93"/>
      <c r="B139" s="93"/>
      <c r="D139" s="93"/>
      <c r="E139" s="67"/>
      <c r="F139" s="58"/>
      <c r="G139" s="68"/>
      <c r="H139" s="69"/>
      <c r="I139" s="70"/>
      <c r="J139" s="70"/>
      <c r="K139" s="70"/>
      <c r="L139" s="70"/>
      <c r="M139" s="70"/>
      <c r="N139" s="70"/>
      <c r="O139" s="70"/>
      <c r="P139" s="70"/>
      <c r="Q139" s="71"/>
      <c r="R139" s="54"/>
      <c r="S139" s="72"/>
      <c r="T139" s="55"/>
      <c r="U139" s="71"/>
      <c r="V139" s="71"/>
      <c r="W139" s="71"/>
      <c r="X139" s="71"/>
      <c r="Y139" s="71"/>
      <c r="Z139" s="71"/>
      <c r="AA139" s="71"/>
      <c r="AB139" s="73"/>
      <c r="AC139" s="56"/>
      <c r="AD139" s="73"/>
      <c r="AE139" s="56"/>
      <c r="AF139" s="74"/>
      <c r="AG139" s="74"/>
      <c r="AH139" s="75"/>
      <c r="AI139" s="76"/>
      <c r="AJ139" s="76"/>
      <c r="AK139" s="93"/>
      <c r="AL139" s="93"/>
      <c r="AM139" s="93"/>
      <c r="AN139" s="93"/>
      <c r="AO139" s="93"/>
      <c r="AP139" s="93"/>
    </row>
    <row r="140" spans="1:42" ht="12.75" customHeight="1" x14ac:dyDescent="0.25">
      <c r="A140" s="93"/>
      <c r="B140" s="93"/>
      <c r="D140" s="93"/>
      <c r="E140" s="67"/>
      <c r="F140" s="58"/>
      <c r="G140" s="68"/>
      <c r="H140" s="69"/>
      <c r="I140" s="70"/>
      <c r="J140" s="70"/>
      <c r="K140" s="70"/>
      <c r="L140" s="70"/>
      <c r="M140" s="70"/>
      <c r="N140" s="70"/>
      <c r="O140" s="70"/>
      <c r="P140" s="70"/>
      <c r="Q140" s="71"/>
      <c r="R140" s="54"/>
      <c r="S140" s="72"/>
      <c r="T140" s="55"/>
      <c r="U140" s="71"/>
      <c r="V140" s="71"/>
      <c r="W140" s="71"/>
      <c r="X140" s="71"/>
      <c r="Y140" s="71"/>
      <c r="Z140" s="71"/>
      <c r="AA140" s="71"/>
      <c r="AB140" s="73"/>
      <c r="AC140" s="56"/>
      <c r="AD140" s="73"/>
      <c r="AE140" s="56"/>
      <c r="AF140" s="74"/>
      <c r="AG140" s="74"/>
      <c r="AH140" s="75"/>
      <c r="AI140" s="76"/>
      <c r="AJ140" s="76"/>
      <c r="AK140" s="93"/>
      <c r="AL140" s="93"/>
      <c r="AM140" s="93"/>
      <c r="AN140" s="93"/>
      <c r="AO140" s="93"/>
      <c r="AP140" s="93"/>
    </row>
    <row r="141" spans="1:42" ht="12.75" customHeight="1" x14ac:dyDescent="0.25">
      <c r="A141" s="93"/>
      <c r="B141" s="93"/>
      <c r="D141" s="93"/>
      <c r="E141" s="67"/>
      <c r="F141" s="58"/>
      <c r="G141" s="68"/>
      <c r="H141" s="69"/>
      <c r="I141" s="70"/>
      <c r="J141" s="70"/>
      <c r="K141" s="70"/>
      <c r="L141" s="70"/>
      <c r="M141" s="70"/>
      <c r="N141" s="70"/>
      <c r="O141" s="70"/>
      <c r="P141" s="70"/>
      <c r="Q141" s="71"/>
      <c r="R141" s="54"/>
      <c r="S141" s="77"/>
      <c r="T141" s="55"/>
      <c r="U141" s="71"/>
      <c r="V141" s="71"/>
      <c r="W141" s="71"/>
      <c r="X141" s="71"/>
      <c r="Y141" s="71"/>
      <c r="Z141" s="71"/>
      <c r="AA141" s="71"/>
      <c r="AB141" s="73"/>
      <c r="AC141" s="56"/>
      <c r="AD141" s="73"/>
      <c r="AE141" s="56"/>
      <c r="AF141" s="74"/>
      <c r="AG141" s="74"/>
      <c r="AH141" s="75"/>
      <c r="AI141" s="76"/>
      <c r="AJ141" s="76"/>
      <c r="AK141" s="93"/>
      <c r="AL141" s="93"/>
      <c r="AM141" s="93"/>
      <c r="AN141" s="93"/>
      <c r="AO141" s="93"/>
      <c r="AP141" s="93"/>
    </row>
    <row r="142" spans="1:42" ht="12.75" customHeight="1" x14ac:dyDescent="0.25">
      <c r="A142" s="93"/>
      <c r="B142" s="93"/>
      <c r="D142" s="93"/>
      <c r="E142" s="67"/>
      <c r="F142" s="58"/>
      <c r="G142" s="68"/>
      <c r="H142" s="69"/>
      <c r="I142" s="70"/>
      <c r="J142" s="70"/>
      <c r="K142" s="70"/>
      <c r="L142" s="70"/>
      <c r="M142" s="70"/>
      <c r="N142" s="70"/>
      <c r="O142" s="70"/>
      <c r="P142" s="70"/>
      <c r="Q142" s="71"/>
      <c r="R142" s="54"/>
      <c r="S142" s="77"/>
      <c r="T142" s="55"/>
      <c r="U142" s="71"/>
      <c r="V142" s="71"/>
      <c r="W142" s="71"/>
      <c r="X142" s="71"/>
      <c r="Y142" s="71"/>
      <c r="Z142" s="71"/>
      <c r="AA142" s="71"/>
      <c r="AB142" s="73"/>
      <c r="AC142" s="56"/>
      <c r="AD142" s="73"/>
      <c r="AE142" s="56"/>
      <c r="AF142" s="74"/>
      <c r="AG142" s="74"/>
      <c r="AH142" s="75"/>
      <c r="AI142" s="76"/>
      <c r="AJ142" s="76"/>
      <c r="AK142" s="93"/>
      <c r="AL142" s="93"/>
      <c r="AM142" s="93"/>
      <c r="AN142" s="93"/>
      <c r="AO142" s="93"/>
      <c r="AP142" s="93"/>
    </row>
    <row r="143" spans="1:42" ht="12.75" customHeight="1" x14ac:dyDescent="0.25">
      <c r="A143" s="93"/>
      <c r="B143" s="93"/>
      <c r="D143" s="93"/>
      <c r="E143" s="67"/>
      <c r="F143" s="58"/>
      <c r="G143" s="68"/>
      <c r="H143" s="69"/>
      <c r="I143" s="70"/>
      <c r="J143" s="70"/>
      <c r="K143" s="70"/>
      <c r="L143" s="70"/>
      <c r="M143" s="70"/>
      <c r="N143" s="70"/>
      <c r="O143" s="70"/>
      <c r="P143" s="70"/>
      <c r="Q143" s="71"/>
      <c r="R143" s="54"/>
      <c r="S143" s="72"/>
      <c r="T143" s="55"/>
      <c r="U143" s="71"/>
      <c r="V143" s="71"/>
      <c r="W143" s="71"/>
      <c r="X143" s="71"/>
      <c r="Y143" s="71"/>
      <c r="Z143" s="71"/>
      <c r="AA143" s="71"/>
      <c r="AB143" s="73"/>
      <c r="AC143" s="56"/>
      <c r="AD143" s="73"/>
      <c r="AE143" s="56"/>
      <c r="AF143" s="74"/>
      <c r="AG143" s="74"/>
      <c r="AH143" s="75"/>
      <c r="AI143" s="76"/>
      <c r="AJ143" s="76"/>
      <c r="AK143" s="93"/>
      <c r="AL143" s="93"/>
      <c r="AM143" s="93"/>
      <c r="AN143" s="93"/>
      <c r="AO143" s="93"/>
      <c r="AP143" s="93"/>
    </row>
    <row r="144" spans="1:42" ht="12.75" customHeight="1" x14ac:dyDescent="0.25">
      <c r="A144" s="93"/>
      <c r="B144" s="93"/>
      <c r="D144" s="93"/>
      <c r="E144" s="67"/>
      <c r="F144" s="58"/>
      <c r="G144" s="68"/>
      <c r="H144" s="69"/>
      <c r="I144" s="70"/>
      <c r="J144" s="70"/>
      <c r="K144" s="70"/>
      <c r="L144" s="70"/>
      <c r="M144" s="70"/>
      <c r="N144" s="70"/>
      <c r="O144" s="70"/>
      <c r="P144" s="70"/>
      <c r="Q144" s="71"/>
      <c r="R144" s="54"/>
      <c r="S144" s="77"/>
      <c r="T144" s="55"/>
      <c r="U144" s="71"/>
      <c r="V144" s="71"/>
      <c r="W144" s="71"/>
      <c r="X144" s="71"/>
      <c r="Y144" s="71"/>
      <c r="Z144" s="71"/>
      <c r="AA144" s="71"/>
      <c r="AB144" s="73"/>
      <c r="AC144" s="56"/>
      <c r="AD144" s="73"/>
      <c r="AE144" s="56"/>
      <c r="AF144" s="74"/>
      <c r="AG144" s="74"/>
      <c r="AH144" s="75"/>
      <c r="AI144" s="76"/>
      <c r="AJ144" s="76"/>
      <c r="AK144" s="93"/>
      <c r="AL144" s="93"/>
      <c r="AM144" s="93"/>
      <c r="AN144" s="93"/>
      <c r="AO144" s="93"/>
      <c r="AP144" s="93"/>
    </row>
    <row r="145" spans="1:42" ht="12.75" customHeight="1" x14ac:dyDescent="0.25">
      <c r="A145" s="93"/>
      <c r="B145" s="93"/>
      <c r="D145" s="93"/>
      <c r="E145" s="67"/>
      <c r="F145" s="58"/>
      <c r="G145" s="68"/>
      <c r="H145" s="69"/>
      <c r="I145" s="70"/>
      <c r="J145" s="70"/>
      <c r="K145" s="70"/>
      <c r="L145" s="70"/>
      <c r="M145" s="70"/>
      <c r="N145" s="70"/>
      <c r="O145" s="70"/>
      <c r="P145" s="70"/>
      <c r="Q145" s="71"/>
      <c r="R145" s="54"/>
      <c r="S145" s="72"/>
      <c r="T145" s="55"/>
      <c r="U145" s="71"/>
      <c r="V145" s="71"/>
      <c r="W145" s="71"/>
      <c r="X145" s="71"/>
      <c r="Y145" s="71"/>
      <c r="Z145" s="71"/>
      <c r="AA145" s="71"/>
      <c r="AB145" s="73"/>
      <c r="AC145" s="56"/>
      <c r="AD145" s="73"/>
      <c r="AE145" s="56"/>
      <c r="AF145" s="74"/>
      <c r="AG145" s="74"/>
      <c r="AH145" s="75"/>
      <c r="AI145" s="76"/>
      <c r="AJ145" s="76"/>
      <c r="AK145" s="93"/>
      <c r="AL145" s="93"/>
      <c r="AM145" s="93"/>
      <c r="AN145" s="93"/>
      <c r="AO145" s="93"/>
      <c r="AP145" s="93"/>
    </row>
    <row r="146" spans="1:42" ht="12.75" customHeight="1" x14ac:dyDescent="0.25">
      <c r="A146" s="93"/>
      <c r="B146" s="93"/>
      <c r="D146" s="93"/>
      <c r="E146" s="67"/>
      <c r="F146" s="58"/>
      <c r="G146" s="68"/>
      <c r="H146" s="69"/>
      <c r="I146" s="70"/>
      <c r="J146" s="70"/>
      <c r="K146" s="70"/>
      <c r="L146" s="70"/>
      <c r="M146" s="70"/>
      <c r="N146" s="70"/>
      <c r="O146" s="70"/>
      <c r="P146" s="70"/>
      <c r="Q146" s="71"/>
      <c r="R146" s="54"/>
      <c r="S146" s="77"/>
      <c r="T146" s="55"/>
      <c r="U146" s="71"/>
      <c r="V146" s="71"/>
      <c r="W146" s="71"/>
      <c r="X146" s="71"/>
      <c r="Y146" s="71"/>
      <c r="Z146" s="71"/>
      <c r="AA146" s="71"/>
      <c r="AB146" s="73"/>
      <c r="AC146" s="56"/>
      <c r="AD146" s="73"/>
      <c r="AE146" s="56"/>
      <c r="AF146" s="74"/>
      <c r="AG146" s="74"/>
      <c r="AH146" s="75"/>
      <c r="AI146" s="76"/>
      <c r="AJ146" s="76"/>
      <c r="AK146" s="93"/>
      <c r="AL146" s="93"/>
      <c r="AM146" s="93"/>
      <c r="AN146" s="93"/>
      <c r="AO146" s="93"/>
      <c r="AP146" s="93"/>
    </row>
    <row r="147" spans="1:42" ht="12.75" customHeight="1" x14ac:dyDescent="0.25">
      <c r="A147" s="93"/>
      <c r="B147" s="93"/>
      <c r="D147" s="93"/>
      <c r="E147" s="67"/>
      <c r="F147" s="58"/>
      <c r="G147" s="68"/>
      <c r="H147" s="69"/>
      <c r="I147" s="70"/>
      <c r="J147" s="70"/>
      <c r="K147" s="70"/>
      <c r="L147" s="70"/>
      <c r="M147" s="70"/>
      <c r="N147" s="70"/>
      <c r="O147" s="70"/>
      <c r="P147" s="70"/>
      <c r="Q147" s="71"/>
      <c r="R147" s="54"/>
      <c r="S147" s="77"/>
      <c r="T147" s="55"/>
      <c r="U147" s="71"/>
      <c r="V147" s="71"/>
      <c r="W147" s="71"/>
      <c r="X147" s="71"/>
      <c r="Y147" s="71"/>
      <c r="Z147" s="71"/>
      <c r="AA147" s="71"/>
      <c r="AB147" s="73"/>
      <c r="AC147" s="56"/>
      <c r="AD147" s="73"/>
      <c r="AE147" s="56"/>
      <c r="AF147" s="74"/>
      <c r="AG147" s="74"/>
      <c r="AH147" s="75"/>
      <c r="AI147" s="76"/>
      <c r="AJ147" s="76"/>
      <c r="AK147" s="93"/>
      <c r="AL147" s="93"/>
      <c r="AM147" s="93"/>
      <c r="AN147" s="93"/>
      <c r="AO147" s="93"/>
      <c r="AP147" s="93"/>
    </row>
    <row r="148" spans="1:42" ht="12.75" customHeight="1" x14ac:dyDescent="0.25">
      <c r="A148" s="93"/>
      <c r="B148" s="93"/>
      <c r="D148" s="93"/>
      <c r="E148" s="67"/>
      <c r="F148" s="58"/>
      <c r="G148" s="68"/>
      <c r="H148" s="69"/>
      <c r="I148" s="70"/>
      <c r="J148" s="70"/>
      <c r="K148" s="70"/>
      <c r="L148" s="70"/>
      <c r="M148" s="70"/>
      <c r="N148" s="70"/>
      <c r="O148" s="70"/>
      <c r="P148" s="70"/>
      <c r="Q148" s="71"/>
      <c r="R148" s="54"/>
      <c r="S148" s="72"/>
      <c r="T148" s="55"/>
      <c r="U148" s="71"/>
      <c r="V148" s="71"/>
      <c r="W148" s="71"/>
      <c r="X148" s="71"/>
      <c r="Y148" s="71"/>
      <c r="Z148" s="71"/>
      <c r="AA148" s="71"/>
      <c r="AB148" s="73"/>
      <c r="AC148" s="56"/>
      <c r="AD148" s="73"/>
      <c r="AE148" s="56"/>
      <c r="AF148" s="74"/>
      <c r="AG148" s="74"/>
      <c r="AH148" s="75"/>
      <c r="AI148" s="76"/>
      <c r="AJ148" s="76"/>
      <c r="AK148" s="93"/>
      <c r="AL148" s="93"/>
      <c r="AM148" s="93"/>
      <c r="AN148" s="93"/>
      <c r="AO148" s="93"/>
      <c r="AP148" s="93"/>
    </row>
    <row r="149" spans="1:42" ht="12.75" customHeight="1" x14ac:dyDescent="0.25">
      <c r="A149" s="93"/>
      <c r="B149" s="93"/>
      <c r="D149" s="93"/>
      <c r="E149" s="67"/>
      <c r="F149" s="58"/>
      <c r="G149" s="68"/>
      <c r="H149" s="69"/>
      <c r="I149" s="70"/>
      <c r="J149" s="70"/>
      <c r="K149" s="70"/>
      <c r="L149" s="70"/>
      <c r="M149" s="70"/>
      <c r="N149" s="70"/>
      <c r="O149" s="70"/>
      <c r="P149" s="70"/>
      <c r="Q149" s="71"/>
      <c r="R149" s="54"/>
      <c r="S149" s="77"/>
      <c r="T149" s="55"/>
      <c r="U149" s="71"/>
      <c r="V149" s="71"/>
      <c r="W149" s="71"/>
      <c r="X149" s="71"/>
      <c r="Y149" s="71"/>
      <c r="Z149" s="71"/>
      <c r="AA149" s="71"/>
      <c r="AB149" s="73"/>
      <c r="AC149" s="56"/>
      <c r="AD149" s="73"/>
      <c r="AE149" s="56"/>
      <c r="AF149" s="74"/>
      <c r="AG149" s="74"/>
      <c r="AH149" s="75"/>
      <c r="AI149" s="76"/>
      <c r="AJ149" s="76"/>
      <c r="AK149" s="93"/>
      <c r="AL149" s="93"/>
      <c r="AM149" s="93"/>
      <c r="AN149" s="93"/>
      <c r="AO149" s="93"/>
      <c r="AP149" s="93"/>
    </row>
    <row r="150" spans="1:42" ht="12.75" customHeight="1" x14ac:dyDescent="0.25">
      <c r="A150" s="93"/>
      <c r="B150" s="93"/>
      <c r="D150" s="93"/>
      <c r="E150" s="67"/>
      <c r="F150" s="58"/>
      <c r="G150" s="68"/>
      <c r="H150" s="69"/>
      <c r="I150" s="70"/>
      <c r="J150" s="70"/>
      <c r="K150" s="70"/>
      <c r="L150" s="70"/>
      <c r="M150" s="70"/>
      <c r="N150" s="70"/>
      <c r="O150" s="70"/>
      <c r="P150" s="70"/>
      <c r="Q150" s="71"/>
      <c r="R150" s="54"/>
      <c r="S150" s="72"/>
      <c r="T150" s="55"/>
      <c r="U150" s="71"/>
      <c r="V150" s="71"/>
      <c r="W150" s="71"/>
      <c r="X150" s="71"/>
      <c r="Y150" s="71"/>
      <c r="Z150" s="71"/>
      <c r="AA150" s="71"/>
      <c r="AB150" s="73"/>
      <c r="AC150" s="56"/>
      <c r="AD150" s="73"/>
      <c r="AE150" s="56"/>
      <c r="AF150" s="74"/>
      <c r="AG150" s="74"/>
      <c r="AH150" s="75"/>
      <c r="AI150" s="76"/>
      <c r="AJ150" s="76"/>
      <c r="AK150" s="93"/>
      <c r="AL150" s="93"/>
      <c r="AM150" s="93"/>
      <c r="AN150" s="93"/>
      <c r="AO150" s="93"/>
      <c r="AP150" s="93"/>
    </row>
    <row r="151" spans="1:42" ht="12.75" customHeight="1" x14ac:dyDescent="0.25">
      <c r="A151" s="93"/>
      <c r="B151" s="93"/>
      <c r="D151" s="93"/>
      <c r="E151" s="67"/>
      <c r="F151" s="58"/>
      <c r="G151" s="68"/>
      <c r="H151" s="69"/>
      <c r="I151" s="70"/>
      <c r="J151" s="70"/>
      <c r="K151" s="70"/>
      <c r="L151" s="70"/>
      <c r="M151" s="70"/>
      <c r="N151" s="70"/>
      <c r="O151" s="70"/>
      <c r="P151" s="70"/>
      <c r="Q151" s="71"/>
      <c r="R151" s="54"/>
      <c r="S151" s="72"/>
      <c r="T151" s="55"/>
      <c r="U151" s="71"/>
      <c r="V151" s="71"/>
      <c r="W151" s="71"/>
      <c r="X151" s="71"/>
      <c r="Y151" s="71"/>
      <c r="Z151" s="71"/>
      <c r="AA151" s="71"/>
      <c r="AB151" s="73"/>
      <c r="AC151" s="56"/>
      <c r="AD151" s="73"/>
      <c r="AE151" s="56"/>
      <c r="AF151" s="74"/>
      <c r="AG151" s="74"/>
      <c r="AH151" s="75"/>
      <c r="AI151" s="76"/>
      <c r="AJ151" s="76"/>
      <c r="AK151" s="93"/>
      <c r="AL151" s="93"/>
      <c r="AM151" s="93"/>
      <c r="AN151" s="93"/>
      <c r="AO151" s="93"/>
      <c r="AP151" s="93"/>
    </row>
    <row r="152" spans="1:42" ht="12.75" customHeight="1" x14ac:dyDescent="0.25">
      <c r="A152" s="93"/>
      <c r="B152" s="93"/>
      <c r="D152" s="93"/>
      <c r="E152" s="67"/>
      <c r="F152" s="58"/>
      <c r="G152" s="68"/>
      <c r="H152" s="69"/>
      <c r="I152" s="70"/>
      <c r="J152" s="70"/>
      <c r="K152" s="70"/>
      <c r="L152" s="70"/>
      <c r="M152" s="70"/>
      <c r="N152" s="70"/>
      <c r="O152" s="70"/>
      <c r="P152" s="70"/>
      <c r="Q152" s="71"/>
      <c r="R152" s="54"/>
      <c r="S152" s="72"/>
      <c r="T152" s="55"/>
      <c r="U152" s="71"/>
      <c r="V152" s="71"/>
      <c r="W152" s="71"/>
      <c r="X152" s="71"/>
      <c r="Y152" s="71"/>
      <c r="Z152" s="71"/>
      <c r="AA152" s="71"/>
      <c r="AB152" s="73"/>
      <c r="AC152" s="56"/>
      <c r="AD152" s="73"/>
      <c r="AE152" s="56"/>
      <c r="AF152" s="74"/>
      <c r="AG152" s="74"/>
      <c r="AH152" s="75"/>
      <c r="AI152" s="76"/>
      <c r="AJ152" s="76"/>
      <c r="AK152" s="93"/>
      <c r="AL152" s="93"/>
      <c r="AM152" s="93"/>
      <c r="AN152" s="93"/>
      <c r="AO152" s="93"/>
      <c r="AP152" s="93"/>
    </row>
    <row r="153" spans="1:42" ht="12.75" customHeight="1" x14ac:dyDescent="0.25">
      <c r="A153" s="93"/>
      <c r="B153" s="93"/>
      <c r="D153" s="93"/>
      <c r="E153" s="67"/>
      <c r="F153" s="58"/>
      <c r="G153" s="68"/>
      <c r="H153" s="69"/>
      <c r="I153" s="70"/>
      <c r="J153" s="70"/>
      <c r="K153" s="70"/>
      <c r="L153" s="70"/>
      <c r="M153" s="70"/>
      <c r="N153" s="70"/>
      <c r="O153" s="70"/>
      <c r="P153" s="70"/>
      <c r="Q153" s="71"/>
      <c r="R153" s="54"/>
      <c r="S153" s="72"/>
      <c r="T153" s="55"/>
      <c r="U153" s="71"/>
      <c r="V153" s="71"/>
      <c r="W153" s="71"/>
      <c r="X153" s="71"/>
      <c r="Y153" s="71"/>
      <c r="Z153" s="71"/>
      <c r="AA153" s="71"/>
      <c r="AB153" s="73"/>
      <c r="AC153" s="56"/>
      <c r="AD153" s="73"/>
      <c r="AE153" s="56"/>
      <c r="AF153" s="74"/>
      <c r="AG153" s="74"/>
      <c r="AH153" s="75"/>
      <c r="AI153" s="76"/>
      <c r="AJ153" s="76"/>
      <c r="AK153" s="93"/>
      <c r="AL153" s="93"/>
      <c r="AM153" s="93"/>
      <c r="AN153" s="93"/>
      <c r="AO153" s="93"/>
      <c r="AP153" s="93"/>
    </row>
    <row r="154" spans="1:42" ht="12.75" customHeight="1" x14ac:dyDescent="0.25">
      <c r="A154" s="93"/>
      <c r="B154" s="93"/>
      <c r="D154" s="93"/>
      <c r="E154" s="67"/>
      <c r="F154" s="58"/>
      <c r="G154" s="68"/>
      <c r="H154" s="69"/>
      <c r="I154" s="70"/>
      <c r="J154" s="70"/>
      <c r="K154" s="70"/>
      <c r="L154" s="70"/>
      <c r="M154" s="70"/>
      <c r="N154" s="70"/>
      <c r="O154" s="70"/>
      <c r="P154" s="70"/>
      <c r="Q154" s="71"/>
      <c r="R154" s="54"/>
      <c r="S154" s="77"/>
      <c r="T154" s="55"/>
      <c r="U154" s="71"/>
      <c r="V154" s="71"/>
      <c r="W154" s="71"/>
      <c r="X154" s="71"/>
      <c r="Y154" s="71"/>
      <c r="Z154" s="71"/>
      <c r="AA154" s="71"/>
      <c r="AB154" s="73"/>
      <c r="AC154" s="56"/>
      <c r="AD154" s="73"/>
      <c r="AE154" s="56"/>
      <c r="AF154" s="74"/>
      <c r="AG154" s="74"/>
      <c r="AH154" s="75"/>
      <c r="AI154" s="76"/>
      <c r="AJ154" s="76"/>
      <c r="AK154" s="93"/>
      <c r="AL154" s="93"/>
      <c r="AM154" s="93"/>
      <c r="AN154" s="93"/>
      <c r="AO154" s="93"/>
      <c r="AP154" s="93"/>
    </row>
    <row r="155" spans="1:42" ht="12.75" customHeight="1" x14ac:dyDescent="0.25">
      <c r="A155" s="93"/>
      <c r="B155" s="93"/>
      <c r="D155" s="93"/>
      <c r="E155" s="67"/>
      <c r="F155" s="58"/>
      <c r="G155" s="68"/>
      <c r="H155" s="69"/>
      <c r="I155" s="70"/>
      <c r="J155" s="70"/>
      <c r="K155" s="70"/>
      <c r="L155" s="70"/>
      <c r="M155" s="70"/>
      <c r="N155" s="70"/>
      <c r="O155" s="70"/>
      <c r="P155" s="70"/>
      <c r="Q155" s="71"/>
      <c r="R155" s="54"/>
      <c r="S155" s="77"/>
      <c r="T155" s="55"/>
      <c r="U155" s="71"/>
      <c r="V155" s="71"/>
      <c r="W155" s="71"/>
      <c r="X155" s="71"/>
      <c r="Y155" s="71"/>
      <c r="Z155" s="71"/>
      <c r="AA155" s="71"/>
      <c r="AB155" s="73"/>
      <c r="AC155" s="56"/>
      <c r="AD155" s="73"/>
      <c r="AE155" s="56"/>
      <c r="AF155" s="74"/>
      <c r="AG155" s="74"/>
      <c r="AH155" s="75"/>
      <c r="AI155" s="76"/>
      <c r="AJ155" s="76"/>
      <c r="AK155" s="93"/>
      <c r="AL155" s="93"/>
      <c r="AM155" s="93"/>
      <c r="AN155" s="93"/>
      <c r="AO155" s="93"/>
      <c r="AP155" s="93"/>
    </row>
    <row r="156" spans="1:42" ht="12.75" customHeight="1" x14ac:dyDescent="0.25">
      <c r="A156" s="93"/>
      <c r="B156" s="93"/>
      <c r="D156" s="93"/>
      <c r="E156" s="67"/>
      <c r="F156" s="58"/>
      <c r="G156" s="68"/>
      <c r="H156" s="69"/>
      <c r="I156" s="70"/>
      <c r="J156" s="70"/>
      <c r="K156" s="70"/>
      <c r="L156" s="70"/>
      <c r="M156" s="70"/>
      <c r="N156" s="70"/>
      <c r="O156" s="70"/>
      <c r="P156" s="70"/>
      <c r="Q156" s="71"/>
      <c r="R156" s="54"/>
      <c r="S156" s="77"/>
      <c r="T156" s="55"/>
      <c r="U156" s="71"/>
      <c r="V156" s="71"/>
      <c r="W156" s="71"/>
      <c r="X156" s="71"/>
      <c r="Y156" s="71"/>
      <c r="Z156" s="71"/>
      <c r="AA156" s="71"/>
      <c r="AB156" s="73"/>
      <c r="AC156" s="56"/>
      <c r="AD156" s="73"/>
      <c r="AE156" s="56"/>
      <c r="AF156" s="74"/>
      <c r="AG156" s="74"/>
      <c r="AH156" s="75"/>
      <c r="AI156" s="76"/>
      <c r="AJ156" s="76"/>
      <c r="AK156" s="93"/>
      <c r="AL156" s="93"/>
      <c r="AM156" s="93"/>
      <c r="AN156" s="93"/>
      <c r="AO156" s="93"/>
      <c r="AP156" s="93"/>
    </row>
    <row r="157" spans="1:42" ht="12.75" customHeight="1" x14ac:dyDescent="0.25">
      <c r="A157" s="93"/>
      <c r="B157" s="93"/>
      <c r="D157" s="93"/>
      <c r="E157" s="67"/>
      <c r="F157" s="58"/>
      <c r="G157" s="68"/>
      <c r="H157" s="69"/>
      <c r="I157" s="70"/>
      <c r="J157" s="70"/>
      <c r="K157" s="70"/>
      <c r="L157" s="70"/>
      <c r="M157" s="70"/>
      <c r="N157" s="70"/>
      <c r="O157" s="70"/>
      <c r="P157" s="70"/>
      <c r="Q157" s="71"/>
      <c r="R157" s="54"/>
      <c r="S157" s="77"/>
      <c r="T157" s="55"/>
      <c r="U157" s="71"/>
      <c r="V157" s="71"/>
      <c r="W157" s="71"/>
      <c r="X157" s="71"/>
      <c r="Y157" s="71"/>
      <c r="Z157" s="71"/>
      <c r="AA157" s="71"/>
      <c r="AB157" s="73"/>
      <c r="AC157" s="56"/>
      <c r="AD157" s="73"/>
      <c r="AE157" s="56"/>
      <c r="AF157" s="74"/>
      <c r="AG157" s="74"/>
      <c r="AH157" s="75"/>
      <c r="AI157" s="76"/>
      <c r="AJ157" s="76"/>
      <c r="AK157" s="93"/>
      <c r="AL157" s="93"/>
      <c r="AM157" s="93"/>
      <c r="AN157" s="93"/>
      <c r="AO157" s="93"/>
      <c r="AP157" s="93"/>
    </row>
    <row r="158" spans="1:42" ht="12.75" customHeight="1" x14ac:dyDescent="0.25">
      <c r="A158" s="93"/>
      <c r="B158" s="93"/>
      <c r="D158" s="93"/>
      <c r="E158" s="67"/>
      <c r="F158" s="58"/>
      <c r="G158" s="68"/>
      <c r="H158" s="69"/>
      <c r="I158" s="70"/>
      <c r="J158" s="70"/>
      <c r="K158" s="70"/>
      <c r="L158" s="70"/>
      <c r="M158" s="70"/>
      <c r="N158" s="70"/>
      <c r="O158" s="70"/>
      <c r="P158" s="70"/>
      <c r="Q158" s="71"/>
      <c r="R158" s="54"/>
      <c r="S158" s="77"/>
      <c r="T158" s="55"/>
      <c r="U158" s="71"/>
      <c r="V158" s="71"/>
      <c r="W158" s="71"/>
      <c r="X158" s="71"/>
      <c r="Y158" s="71"/>
      <c r="Z158" s="71"/>
      <c r="AA158" s="71"/>
      <c r="AB158" s="73"/>
      <c r="AC158" s="56"/>
      <c r="AD158" s="73"/>
      <c r="AE158" s="56"/>
      <c r="AF158" s="74"/>
      <c r="AG158" s="74"/>
      <c r="AH158" s="75"/>
      <c r="AI158" s="76"/>
      <c r="AJ158" s="76"/>
      <c r="AK158" s="93"/>
      <c r="AL158" s="93"/>
      <c r="AM158" s="93"/>
      <c r="AN158" s="93"/>
      <c r="AO158" s="93"/>
      <c r="AP158" s="93"/>
    </row>
    <row r="159" spans="1:42" ht="12.75" customHeight="1" x14ac:dyDescent="0.25">
      <c r="A159" s="93"/>
      <c r="B159" s="93"/>
      <c r="D159" s="93"/>
      <c r="E159" s="67"/>
      <c r="F159" s="58"/>
      <c r="G159" s="68"/>
      <c r="H159" s="69"/>
      <c r="I159" s="70"/>
      <c r="J159" s="70"/>
      <c r="K159" s="70"/>
      <c r="L159" s="70"/>
      <c r="M159" s="70"/>
      <c r="N159" s="70"/>
      <c r="O159" s="70"/>
      <c r="P159" s="70"/>
      <c r="Q159" s="71"/>
      <c r="R159" s="54"/>
      <c r="S159" s="77"/>
      <c r="T159" s="55"/>
      <c r="U159" s="71"/>
      <c r="V159" s="71"/>
      <c r="W159" s="71"/>
      <c r="X159" s="71"/>
      <c r="Y159" s="71"/>
      <c r="Z159" s="71"/>
      <c r="AA159" s="71"/>
      <c r="AB159" s="73"/>
      <c r="AC159" s="56"/>
      <c r="AD159" s="73"/>
      <c r="AE159" s="56"/>
      <c r="AF159" s="74"/>
      <c r="AG159" s="74"/>
      <c r="AH159" s="75"/>
      <c r="AI159" s="76"/>
      <c r="AJ159" s="76"/>
      <c r="AK159" s="93"/>
      <c r="AL159" s="93"/>
      <c r="AM159" s="93"/>
      <c r="AN159" s="93"/>
      <c r="AO159" s="93"/>
      <c r="AP159" s="93"/>
    </row>
    <row r="160" spans="1:42" ht="12.75" customHeight="1" x14ac:dyDescent="0.25">
      <c r="A160" s="93"/>
      <c r="B160" s="93"/>
      <c r="D160" s="93"/>
      <c r="E160" s="67"/>
      <c r="F160" s="58"/>
      <c r="G160" s="68"/>
      <c r="H160" s="69"/>
      <c r="I160" s="70"/>
      <c r="J160" s="70"/>
      <c r="K160" s="70"/>
      <c r="L160" s="70"/>
      <c r="M160" s="70"/>
      <c r="N160" s="70"/>
      <c r="O160" s="70"/>
      <c r="P160" s="70"/>
      <c r="Q160" s="71"/>
      <c r="R160" s="54"/>
      <c r="S160" s="77"/>
      <c r="T160" s="55"/>
      <c r="U160" s="71"/>
      <c r="V160" s="71"/>
      <c r="W160" s="71"/>
      <c r="X160" s="71"/>
      <c r="Y160" s="71"/>
      <c r="Z160" s="71"/>
      <c r="AA160" s="71"/>
      <c r="AB160" s="73"/>
      <c r="AC160" s="56"/>
      <c r="AD160" s="73"/>
      <c r="AE160" s="56"/>
      <c r="AF160" s="74"/>
      <c r="AG160" s="74"/>
      <c r="AH160" s="75"/>
      <c r="AI160" s="76"/>
      <c r="AJ160" s="76"/>
      <c r="AK160" s="93"/>
      <c r="AL160" s="93"/>
      <c r="AM160" s="93"/>
      <c r="AN160" s="93"/>
      <c r="AO160" s="93"/>
      <c r="AP160" s="93"/>
    </row>
    <row r="161" spans="1:42" ht="12.75" customHeight="1" x14ac:dyDescent="0.25">
      <c r="A161" s="93"/>
      <c r="B161" s="93"/>
      <c r="D161" s="93"/>
      <c r="E161" s="67"/>
      <c r="F161" s="58"/>
      <c r="G161" s="68"/>
      <c r="H161" s="69"/>
      <c r="I161" s="70"/>
      <c r="J161" s="70"/>
      <c r="K161" s="70"/>
      <c r="L161" s="70"/>
      <c r="M161" s="70"/>
      <c r="N161" s="70"/>
      <c r="O161" s="70"/>
      <c r="P161" s="70"/>
      <c r="Q161" s="71"/>
      <c r="R161" s="54"/>
      <c r="S161" s="72"/>
      <c r="T161" s="55"/>
      <c r="U161" s="71"/>
      <c r="V161" s="71"/>
      <c r="W161" s="71"/>
      <c r="X161" s="71"/>
      <c r="Y161" s="71"/>
      <c r="Z161" s="71"/>
      <c r="AA161" s="71"/>
      <c r="AB161" s="73"/>
      <c r="AC161" s="56"/>
      <c r="AD161" s="73"/>
      <c r="AE161" s="56"/>
      <c r="AF161" s="74"/>
      <c r="AG161" s="74"/>
      <c r="AH161" s="75"/>
      <c r="AI161" s="76"/>
      <c r="AJ161" s="76"/>
      <c r="AK161" s="93"/>
      <c r="AL161" s="93"/>
      <c r="AM161" s="93"/>
      <c r="AN161" s="93"/>
      <c r="AO161" s="93"/>
      <c r="AP161" s="93"/>
    </row>
    <row r="162" spans="1:42" ht="12.75" customHeight="1" x14ac:dyDescent="0.25">
      <c r="A162" s="93"/>
      <c r="B162" s="93"/>
      <c r="D162" s="93"/>
      <c r="E162" s="67"/>
      <c r="F162" s="58"/>
      <c r="G162" s="68"/>
      <c r="H162" s="69"/>
      <c r="I162" s="70"/>
      <c r="J162" s="70"/>
      <c r="K162" s="70"/>
      <c r="L162" s="70"/>
      <c r="M162" s="70"/>
      <c r="N162" s="70"/>
      <c r="O162" s="70"/>
      <c r="P162" s="70"/>
      <c r="Q162" s="71"/>
      <c r="R162" s="54"/>
      <c r="S162" s="72"/>
      <c r="T162" s="55"/>
      <c r="U162" s="71"/>
      <c r="V162" s="71"/>
      <c r="W162" s="71"/>
      <c r="X162" s="71"/>
      <c r="Y162" s="71"/>
      <c r="Z162" s="71"/>
      <c r="AA162" s="71"/>
      <c r="AB162" s="73"/>
      <c r="AC162" s="56"/>
      <c r="AD162" s="73"/>
      <c r="AE162" s="56"/>
      <c r="AF162" s="74"/>
      <c r="AG162" s="74"/>
      <c r="AH162" s="75"/>
      <c r="AI162" s="76"/>
      <c r="AJ162" s="76"/>
      <c r="AK162" s="93"/>
      <c r="AL162" s="93"/>
      <c r="AM162" s="93"/>
      <c r="AN162" s="93"/>
      <c r="AO162" s="93"/>
      <c r="AP162" s="93"/>
    </row>
    <row r="163" spans="1:42" ht="12.75" customHeight="1" x14ac:dyDescent="0.25">
      <c r="A163" s="93"/>
      <c r="B163" s="93"/>
      <c r="D163" s="93"/>
      <c r="E163" s="67"/>
      <c r="F163" s="58"/>
      <c r="G163" s="68"/>
      <c r="H163" s="69"/>
      <c r="I163" s="70"/>
      <c r="J163" s="70"/>
      <c r="K163" s="70"/>
      <c r="L163" s="70"/>
      <c r="M163" s="70"/>
      <c r="N163" s="70"/>
      <c r="O163" s="70"/>
      <c r="P163" s="70"/>
      <c r="Q163" s="71"/>
      <c r="R163" s="54"/>
      <c r="S163" s="72"/>
      <c r="T163" s="55"/>
      <c r="U163" s="71"/>
      <c r="V163" s="71"/>
      <c r="W163" s="71"/>
      <c r="X163" s="71"/>
      <c r="Y163" s="71"/>
      <c r="Z163" s="71"/>
      <c r="AA163" s="71"/>
      <c r="AB163" s="73"/>
      <c r="AC163" s="56"/>
      <c r="AD163" s="73"/>
      <c r="AE163" s="56"/>
      <c r="AF163" s="74"/>
      <c r="AG163" s="74"/>
      <c r="AH163" s="75"/>
      <c r="AI163" s="76"/>
      <c r="AJ163" s="76"/>
      <c r="AK163" s="93"/>
      <c r="AL163" s="93"/>
      <c r="AM163" s="93"/>
      <c r="AN163" s="93"/>
      <c r="AO163" s="93"/>
      <c r="AP163" s="93"/>
    </row>
    <row r="164" spans="1:42" ht="12.75" customHeight="1" x14ac:dyDescent="0.25">
      <c r="A164" s="93"/>
      <c r="B164" s="93"/>
      <c r="D164" s="93"/>
      <c r="E164" s="67"/>
      <c r="F164" s="58"/>
      <c r="G164" s="68"/>
      <c r="H164" s="69"/>
      <c r="I164" s="70"/>
      <c r="J164" s="70"/>
      <c r="K164" s="70"/>
      <c r="L164" s="70"/>
      <c r="M164" s="70"/>
      <c r="N164" s="70"/>
      <c r="O164" s="70"/>
      <c r="P164" s="70"/>
      <c r="Q164" s="71"/>
      <c r="R164" s="54"/>
      <c r="S164" s="77"/>
      <c r="T164" s="55"/>
      <c r="U164" s="71"/>
      <c r="V164" s="71"/>
      <c r="W164" s="71"/>
      <c r="X164" s="71"/>
      <c r="Y164" s="71"/>
      <c r="Z164" s="71"/>
      <c r="AA164" s="71"/>
      <c r="AB164" s="73"/>
      <c r="AC164" s="56"/>
      <c r="AD164" s="73"/>
      <c r="AE164" s="56"/>
      <c r="AF164" s="74"/>
      <c r="AG164" s="74"/>
      <c r="AH164" s="75"/>
      <c r="AI164" s="76"/>
      <c r="AJ164" s="76"/>
      <c r="AK164" s="93"/>
      <c r="AL164" s="93"/>
      <c r="AM164" s="93"/>
      <c r="AN164" s="93"/>
      <c r="AO164" s="93"/>
      <c r="AP164" s="93"/>
    </row>
    <row r="165" spans="1:42" ht="12.75" customHeight="1" x14ac:dyDescent="0.25">
      <c r="A165" s="93"/>
      <c r="B165" s="93"/>
      <c r="D165" s="93"/>
      <c r="E165" s="67"/>
      <c r="F165" s="58"/>
      <c r="G165" s="68"/>
      <c r="H165" s="69"/>
      <c r="I165" s="70"/>
      <c r="J165" s="70"/>
      <c r="K165" s="70"/>
      <c r="L165" s="70"/>
      <c r="M165" s="70"/>
      <c r="N165" s="70"/>
      <c r="O165" s="70"/>
      <c r="P165" s="70"/>
      <c r="Q165" s="71"/>
      <c r="R165" s="54"/>
      <c r="S165" s="77"/>
      <c r="T165" s="55"/>
      <c r="U165" s="71"/>
      <c r="V165" s="71"/>
      <c r="W165" s="71"/>
      <c r="X165" s="71"/>
      <c r="Y165" s="71"/>
      <c r="Z165" s="71"/>
      <c r="AA165" s="71"/>
      <c r="AB165" s="73"/>
      <c r="AC165" s="56"/>
      <c r="AD165" s="73"/>
      <c r="AE165" s="56"/>
      <c r="AF165" s="74"/>
      <c r="AG165" s="74"/>
      <c r="AH165" s="75"/>
      <c r="AI165" s="76"/>
      <c r="AJ165" s="76"/>
      <c r="AK165" s="93"/>
      <c r="AL165" s="93"/>
      <c r="AM165" s="93"/>
      <c r="AN165" s="93"/>
      <c r="AO165" s="93"/>
      <c r="AP165" s="93"/>
    </row>
    <row r="166" spans="1:42" ht="12.75" customHeight="1" x14ac:dyDescent="0.25">
      <c r="A166" s="93"/>
      <c r="B166" s="93"/>
      <c r="D166" s="93"/>
      <c r="E166" s="67"/>
      <c r="F166" s="58"/>
      <c r="G166" s="68"/>
      <c r="H166" s="69"/>
      <c r="I166" s="70"/>
      <c r="J166" s="70"/>
      <c r="K166" s="70"/>
      <c r="L166" s="70"/>
      <c r="M166" s="70"/>
      <c r="N166" s="70"/>
      <c r="O166" s="70"/>
      <c r="P166" s="70"/>
      <c r="Q166" s="71"/>
      <c r="R166" s="54"/>
      <c r="S166" s="72"/>
      <c r="T166" s="55"/>
      <c r="U166" s="71"/>
      <c r="V166" s="71"/>
      <c r="W166" s="71"/>
      <c r="X166" s="71"/>
      <c r="Y166" s="71"/>
      <c r="Z166" s="71"/>
      <c r="AA166" s="71"/>
      <c r="AB166" s="73"/>
      <c r="AC166" s="56"/>
      <c r="AD166" s="73"/>
      <c r="AE166" s="56"/>
      <c r="AF166" s="74"/>
      <c r="AG166" s="74"/>
      <c r="AH166" s="75"/>
      <c r="AI166" s="76"/>
      <c r="AJ166" s="76"/>
      <c r="AK166" s="93"/>
      <c r="AL166" s="93"/>
      <c r="AM166" s="93"/>
      <c r="AN166" s="93"/>
      <c r="AO166" s="93"/>
      <c r="AP166" s="93"/>
    </row>
    <row r="167" spans="1:42" ht="12.75" customHeight="1" x14ac:dyDescent="0.25">
      <c r="A167" s="93"/>
      <c r="B167" s="93"/>
      <c r="D167" s="93"/>
      <c r="E167" s="67"/>
      <c r="F167" s="58"/>
      <c r="G167" s="68"/>
      <c r="H167" s="69"/>
      <c r="I167" s="70"/>
      <c r="J167" s="70"/>
      <c r="K167" s="70"/>
      <c r="L167" s="70"/>
      <c r="M167" s="70"/>
      <c r="N167" s="70"/>
      <c r="O167" s="70"/>
      <c r="P167" s="70"/>
      <c r="Q167" s="71"/>
      <c r="R167" s="54"/>
      <c r="S167" s="72"/>
      <c r="T167" s="55"/>
      <c r="U167" s="71"/>
      <c r="V167" s="71"/>
      <c r="W167" s="71"/>
      <c r="X167" s="71"/>
      <c r="Y167" s="71"/>
      <c r="Z167" s="71"/>
      <c r="AA167" s="71"/>
      <c r="AB167" s="73"/>
      <c r="AC167" s="56"/>
      <c r="AD167" s="73"/>
      <c r="AE167" s="56"/>
      <c r="AF167" s="74"/>
      <c r="AG167" s="74"/>
      <c r="AH167" s="75"/>
      <c r="AI167" s="76"/>
      <c r="AJ167" s="76"/>
      <c r="AK167" s="93"/>
      <c r="AL167" s="93"/>
      <c r="AM167" s="93"/>
      <c r="AN167" s="93"/>
      <c r="AO167" s="93"/>
      <c r="AP167" s="93"/>
    </row>
    <row r="168" spans="1:42" ht="12.75" customHeight="1" x14ac:dyDescent="0.25">
      <c r="A168" s="93"/>
      <c r="B168" s="93"/>
      <c r="D168" s="93"/>
      <c r="E168" s="67"/>
      <c r="F168" s="58"/>
      <c r="G168" s="68"/>
      <c r="H168" s="69"/>
      <c r="I168" s="70"/>
      <c r="J168" s="70"/>
      <c r="K168" s="70"/>
      <c r="L168" s="70"/>
      <c r="M168" s="70"/>
      <c r="N168" s="70"/>
      <c r="O168" s="70"/>
      <c r="P168" s="70"/>
      <c r="Q168" s="71"/>
      <c r="R168" s="54"/>
      <c r="S168" s="77"/>
      <c r="T168" s="55"/>
      <c r="U168" s="71"/>
      <c r="V168" s="71"/>
      <c r="W168" s="71"/>
      <c r="X168" s="71"/>
      <c r="Y168" s="71"/>
      <c r="Z168" s="71"/>
      <c r="AA168" s="71"/>
      <c r="AB168" s="73"/>
      <c r="AC168" s="56"/>
      <c r="AD168" s="73"/>
      <c r="AE168" s="56"/>
      <c r="AF168" s="74"/>
      <c r="AG168" s="74"/>
      <c r="AH168" s="75"/>
      <c r="AI168" s="76"/>
      <c r="AJ168" s="76"/>
      <c r="AK168" s="93"/>
      <c r="AL168" s="93"/>
      <c r="AM168" s="93"/>
      <c r="AN168" s="93"/>
      <c r="AO168" s="93"/>
      <c r="AP168" s="93"/>
    </row>
    <row r="169" spans="1:42" ht="12.75" customHeight="1" x14ac:dyDescent="0.25">
      <c r="A169" s="93"/>
      <c r="B169" s="93"/>
      <c r="D169" s="93"/>
      <c r="E169" s="67"/>
      <c r="F169" s="58"/>
      <c r="G169" s="68"/>
      <c r="H169" s="69"/>
      <c r="I169" s="70"/>
      <c r="J169" s="70"/>
      <c r="K169" s="70"/>
      <c r="L169" s="70"/>
      <c r="M169" s="70"/>
      <c r="N169" s="70"/>
      <c r="O169" s="70"/>
      <c r="P169" s="70"/>
      <c r="Q169" s="71"/>
      <c r="R169" s="54"/>
      <c r="S169" s="72"/>
      <c r="T169" s="55"/>
      <c r="U169" s="71"/>
      <c r="V169" s="71"/>
      <c r="W169" s="71"/>
      <c r="X169" s="71"/>
      <c r="Y169" s="71"/>
      <c r="Z169" s="71"/>
      <c r="AA169" s="71"/>
      <c r="AB169" s="73"/>
      <c r="AC169" s="56"/>
      <c r="AD169" s="73"/>
      <c r="AE169" s="56"/>
      <c r="AF169" s="74"/>
      <c r="AG169" s="74"/>
      <c r="AH169" s="75"/>
      <c r="AI169" s="76"/>
      <c r="AJ169" s="76"/>
      <c r="AK169" s="93"/>
      <c r="AL169" s="93"/>
      <c r="AM169" s="93"/>
      <c r="AN169" s="93"/>
      <c r="AO169" s="93"/>
      <c r="AP169" s="93"/>
    </row>
    <row r="170" spans="1:42" ht="12.75" customHeight="1" x14ac:dyDescent="0.25">
      <c r="A170" s="93"/>
      <c r="B170" s="93"/>
      <c r="D170" s="93"/>
      <c r="E170" s="67"/>
      <c r="F170" s="58"/>
      <c r="G170" s="68"/>
      <c r="H170" s="69"/>
      <c r="I170" s="70"/>
      <c r="J170" s="70"/>
      <c r="K170" s="70"/>
      <c r="L170" s="70"/>
      <c r="M170" s="70"/>
      <c r="N170" s="70"/>
      <c r="O170" s="70"/>
      <c r="P170" s="70"/>
      <c r="Q170" s="71"/>
      <c r="R170" s="54"/>
      <c r="S170" s="77"/>
      <c r="T170" s="55"/>
      <c r="U170" s="71"/>
      <c r="V170" s="71"/>
      <c r="W170" s="71"/>
      <c r="X170" s="71"/>
      <c r="Y170" s="71"/>
      <c r="Z170" s="71"/>
      <c r="AA170" s="71"/>
      <c r="AB170" s="73"/>
      <c r="AC170" s="56"/>
      <c r="AD170" s="73"/>
      <c r="AE170" s="56"/>
      <c r="AF170" s="74"/>
      <c r="AG170" s="74"/>
      <c r="AH170" s="75"/>
      <c r="AI170" s="76"/>
      <c r="AJ170" s="76"/>
      <c r="AK170" s="93"/>
      <c r="AL170" s="93"/>
      <c r="AM170" s="93"/>
      <c r="AN170" s="93"/>
      <c r="AO170" s="93"/>
      <c r="AP170" s="93"/>
    </row>
    <row r="171" spans="1:42" ht="12.75" customHeight="1" x14ac:dyDescent="0.25">
      <c r="A171" s="93"/>
      <c r="B171" s="93"/>
      <c r="D171" s="93"/>
      <c r="E171" s="67"/>
      <c r="F171" s="58"/>
      <c r="G171" s="68"/>
      <c r="H171" s="69"/>
      <c r="I171" s="70"/>
      <c r="J171" s="70"/>
      <c r="K171" s="70"/>
      <c r="L171" s="70"/>
      <c r="M171" s="70"/>
      <c r="N171" s="70"/>
      <c r="O171" s="70"/>
      <c r="P171" s="70"/>
      <c r="Q171" s="71"/>
      <c r="R171" s="54"/>
      <c r="S171" s="77"/>
      <c r="T171" s="55"/>
      <c r="U171" s="71"/>
      <c r="V171" s="71"/>
      <c r="W171" s="71"/>
      <c r="X171" s="71"/>
      <c r="Y171" s="71"/>
      <c r="Z171" s="71"/>
      <c r="AA171" s="71"/>
      <c r="AB171" s="73"/>
      <c r="AC171" s="56"/>
      <c r="AD171" s="73"/>
      <c r="AE171" s="56"/>
      <c r="AF171" s="74"/>
      <c r="AG171" s="74"/>
      <c r="AH171" s="75"/>
      <c r="AI171" s="76"/>
      <c r="AJ171" s="76"/>
      <c r="AK171" s="93"/>
      <c r="AL171" s="93"/>
      <c r="AM171" s="93"/>
      <c r="AN171" s="93"/>
      <c r="AO171" s="93"/>
      <c r="AP171" s="93"/>
    </row>
    <row r="172" spans="1:42" ht="12.75" customHeight="1" x14ac:dyDescent="0.25">
      <c r="A172" s="93"/>
      <c r="B172" s="93"/>
      <c r="D172" s="93"/>
      <c r="E172" s="67"/>
      <c r="F172" s="58"/>
      <c r="G172" s="68"/>
      <c r="H172" s="69"/>
      <c r="I172" s="70"/>
      <c r="J172" s="70"/>
      <c r="K172" s="70"/>
      <c r="L172" s="70"/>
      <c r="M172" s="70"/>
      <c r="N172" s="70"/>
      <c r="O172" s="70"/>
      <c r="P172" s="70"/>
      <c r="Q172" s="71"/>
      <c r="R172" s="54"/>
      <c r="S172" s="72"/>
      <c r="T172" s="55"/>
      <c r="U172" s="71"/>
      <c r="V172" s="71"/>
      <c r="W172" s="71"/>
      <c r="X172" s="71"/>
      <c r="Y172" s="71"/>
      <c r="Z172" s="71"/>
      <c r="AA172" s="71"/>
      <c r="AB172" s="73"/>
      <c r="AC172" s="56"/>
      <c r="AD172" s="73"/>
      <c r="AE172" s="56"/>
      <c r="AF172" s="74"/>
      <c r="AG172" s="74"/>
      <c r="AH172" s="75"/>
      <c r="AI172" s="76"/>
      <c r="AJ172" s="76"/>
      <c r="AK172" s="93"/>
      <c r="AL172" s="93"/>
      <c r="AM172" s="93"/>
      <c r="AN172" s="93"/>
      <c r="AO172" s="93"/>
      <c r="AP172" s="93"/>
    </row>
    <row r="173" spans="1:42" ht="12.75" customHeight="1" x14ac:dyDescent="0.25">
      <c r="A173" s="93"/>
      <c r="B173" s="93"/>
      <c r="D173" s="93"/>
      <c r="E173" s="67"/>
      <c r="F173" s="58"/>
      <c r="G173" s="68"/>
      <c r="H173" s="69"/>
      <c r="I173" s="70"/>
      <c r="J173" s="70"/>
      <c r="K173" s="70"/>
      <c r="L173" s="70"/>
      <c r="M173" s="70"/>
      <c r="N173" s="70"/>
      <c r="O173" s="70"/>
      <c r="P173" s="70"/>
      <c r="Q173" s="71"/>
      <c r="R173" s="54"/>
      <c r="S173" s="72"/>
      <c r="T173" s="55"/>
      <c r="U173" s="71"/>
      <c r="V173" s="71"/>
      <c r="W173" s="71"/>
      <c r="X173" s="71"/>
      <c r="Y173" s="71"/>
      <c r="Z173" s="71"/>
      <c r="AA173" s="71"/>
      <c r="AB173" s="73"/>
      <c r="AC173" s="56"/>
      <c r="AD173" s="73"/>
      <c r="AE173" s="56"/>
      <c r="AF173" s="74"/>
      <c r="AG173" s="74"/>
      <c r="AH173" s="75"/>
      <c r="AI173" s="76"/>
      <c r="AJ173" s="76"/>
      <c r="AK173" s="93"/>
      <c r="AL173" s="93"/>
      <c r="AM173" s="93"/>
      <c r="AN173" s="93"/>
      <c r="AO173" s="93"/>
      <c r="AP173" s="93"/>
    </row>
    <row r="174" spans="1:42" ht="12.75" customHeight="1" x14ac:dyDescent="0.25">
      <c r="A174" s="93"/>
      <c r="B174" s="93"/>
      <c r="D174" s="93"/>
      <c r="E174" s="67"/>
      <c r="F174" s="58"/>
      <c r="G174" s="68"/>
      <c r="H174" s="69"/>
      <c r="I174" s="70"/>
      <c r="J174" s="70"/>
      <c r="K174" s="70"/>
      <c r="L174" s="70"/>
      <c r="M174" s="70"/>
      <c r="N174" s="70"/>
      <c r="O174" s="70"/>
      <c r="P174" s="70"/>
      <c r="Q174" s="71"/>
      <c r="R174" s="54"/>
      <c r="S174" s="72"/>
      <c r="T174" s="55"/>
      <c r="U174" s="71"/>
      <c r="V174" s="71"/>
      <c r="W174" s="71"/>
      <c r="X174" s="71"/>
      <c r="Y174" s="71"/>
      <c r="Z174" s="71"/>
      <c r="AA174" s="71"/>
      <c r="AB174" s="73"/>
      <c r="AC174" s="56"/>
      <c r="AD174" s="73"/>
      <c r="AE174" s="56"/>
      <c r="AF174" s="74"/>
      <c r="AG174" s="74"/>
      <c r="AH174" s="75"/>
      <c r="AI174" s="76"/>
      <c r="AJ174" s="76"/>
      <c r="AK174" s="93"/>
      <c r="AL174" s="93"/>
      <c r="AM174" s="93"/>
      <c r="AN174" s="93"/>
      <c r="AO174" s="93"/>
      <c r="AP174" s="93"/>
    </row>
    <row r="175" spans="1:42" ht="12.75" customHeight="1" x14ac:dyDescent="0.25">
      <c r="A175" s="93"/>
      <c r="B175" s="93"/>
      <c r="D175" s="93"/>
      <c r="E175" s="67"/>
      <c r="F175" s="58"/>
      <c r="G175" s="68"/>
      <c r="H175" s="69"/>
      <c r="I175" s="70"/>
      <c r="J175" s="70"/>
      <c r="K175" s="70"/>
      <c r="L175" s="70"/>
      <c r="M175" s="70"/>
      <c r="N175" s="70"/>
      <c r="O175" s="70"/>
      <c r="P175" s="70"/>
      <c r="Q175" s="71"/>
      <c r="R175" s="54"/>
      <c r="S175" s="72"/>
      <c r="T175" s="55"/>
      <c r="U175" s="71"/>
      <c r="V175" s="71"/>
      <c r="W175" s="71"/>
      <c r="X175" s="71"/>
      <c r="Y175" s="71"/>
      <c r="Z175" s="71"/>
      <c r="AA175" s="71"/>
      <c r="AB175" s="73"/>
      <c r="AC175" s="56"/>
      <c r="AD175" s="73"/>
      <c r="AE175" s="56"/>
      <c r="AF175" s="74"/>
      <c r="AG175" s="74"/>
      <c r="AH175" s="75"/>
      <c r="AI175" s="76"/>
      <c r="AJ175" s="76"/>
      <c r="AK175" s="93"/>
      <c r="AL175" s="93"/>
      <c r="AM175" s="93"/>
      <c r="AN175" s="93"/>
      <c r="AO175" s="93"/>
      <c r="AP175" s="93"/>
    </row>
    <row r="176" spans="1:42" ht="12.75" customHeight="1" x14ac:dyDescent="0.25">
      <c r="A176" s="93"/>
      <c r="B176" s="93"/>
      <c r="D176" s="93"/>
      <c r="E176" s="67"/>
      <c r="F176" s="58"/>
      <c r="G176" s="68"/>
      <c r="H176" s="69"/>
      <c r="I176" s="70"/>
      <c r="J176" s="70"/>
      <c r="K176" s="70"/>
      <c r="L176" s="70"/>
      <c r="M176" s="70"/>
      <c r="N176" s="70"/>
      <c r="O176" s="70"/>
      <c r="P176" s="70"/>
      <c r="Q176" s="71"/>
      <c r="R176" s="54"/>
      <c r="S176" s="77"/>
      <c r="T176" s="55"/>
      <c r="U176" s="71"/>
      <c r="V176" s="71"/>
      <c r="W176" s="71"/>
      <c r="X176" s="71"/>
      <c r="Y176" s="71"/>
      <c r="Z176" s="71"/>
      <c r="AA176" s="71"/>
      <c r="AB176" s="73"/>
      <c r="AC176" s="56"/>
      <c r="AD176" s="73"/>
      <c r="AE176" s="56"/>
      <c r="AF176" s="74"/>
      <c r="AG176" s="74"/>
      <c r="AH176" s="75"/>
      <c r="AI176" s="76"/>
      <c r="AJ176" s="76"/>
      <c r="AK176" s="93"/>
      <c r="AL176" s="93"/>
      <c r="AM176" s="93"/>
      <c r="AN176" s="93"/>
      <c r="AO176" s="93"/>
      <c r="AP176" s="93"/>
    </row>
    <row r="177" spans="1:42" ht="12.75" customHeight="1" x14ac:dyDescent="0.25">
      <c r="A177" s="93"/>
      <c r="B177" s="93"/>
      <c r="D177" s="93"/>
      <c r="E177" s="67"/>
      <c r="F177" s="58"/>
      <c r="G177" s="68"/>
      <c r="H177" s="69"/>
      <c r="I177" s="70"/>
      <c r="J177" s="70"/>
      <c r="K177" s="70"/>
      <c r="L177" s="70"/>
      <c r="M177" s="70"/>
      <c r="N177" s="70"/>
      <c r="O177" s="70"/>
      <c r="P177" s="70"/>
      <c r="Q177" s="71"/>
      <c r="R177" s="54"/>
      <c r="S177" s="72"/>
      <c r="T177" s="55"/>
      <c r="U177" s="71"/>
      <c r="V177" s="71"/>
      <c r="W177" s="71"/>
      <c r="X177" s="71"/>
      <c r="Y177" s="71"/>
      <c r="Z177" s="71"/>
      <c r="AA177" s="71"/>
      <c r="AB177" s="73"/>
      <c r="AC177" s="56"/>
      <c r="AD177" s="73"/>
      <c r="AE177" s="56"/>
      <c r="AF177" s="74"/>
      <c r="AG177" s="74"/>
      <c r="AH177" s="75"/>
      <c r="AI177" s="76"/>
      <c r="AJ177" s="76"/>
      <c r="AK177" s="93"/>
      <c r="AL177" s="93"/>
      <c r="AM177" s="93"/>
      <c r="AN177" s="93"/>
      <c r="AO177" s="93"/>
      <c r="AP177" s="93"/>
    </row>
    <row r="178" spans="1:42" ht="12.75" customHeight="1" x14ac:dyDescent="0.25">
      <c r="A178" s="93"/>
      <c r="B178" s="93"/>
      <c r="D178" s="93"/>
      <c r="E178" s="67"/>
      <c r="F178" s="58"/>
      <c r="G178" s="68"/>
      <c r="H178" s="69"/>
      <c r="I178" s="70"/>
      <c r="J178" s="70"/>
      <c r="K178" s="70"/>
      <c r="L178" s="70"/>
      <c r="M178" s="70"/>
      <c r="N178" s="70"/>
      <c r="O178" s="70"/>
      <c r="P178" s="70"/>
      <c r="Q178" s="71"/>
      <c r="R178" s="54"/>
      <c r="S178" s="72"/>
      <c r="T178" s="55"/>
      <c r="U178" s="71"/>
      <c r="V178" s="71"/>
      <c r="W178" s="71"/>
      <c r="X178" s="71"/>
      <c r="Y178" s="71"/>
      <c r="Z178" s="71"/>
      <c r="AA178" s="71"/>
      <c r="AB178" s="73"/>
      <c r="AC178" s="56"/>
      <c r="AD178" s="73"/>
      <c r="AE178" s="56"/>
      <c r="AF178" s="74"/>
      <c r="AG178" s="74"/>
      <c r="AH178" s="75"/>
      <c r="AI178" s="76"/>
      <c r="AJ178" s="76"/>
      <c r="AK178" s="93"/>
      <c r="AL178" s="93"/>
      <c r="AM178" s="93"/>
      <c r="AN178" s="93"/>
      <c r="AO178" s="93"/>
      <c r="AP178" s="93"/>
    </row>
    <row r="179" spans="1:42" ht="12.75" customHeight="1" x14ac:dyDescent="0.25">
      <c r="A179" s="93"/>
      <c r="B179" s="93"/>
      <c r="D179" s="93"/>
      <c r="E179" s="67"/>
      <c r="F179" s="58"/>
      <c r="G179" s="68"/>
      <c r="H179" s="69"/>
      <c r="I179" s="70"/>
      <c r="J179" s="70"/>
      <c r="K179" s="70"/>
      <c r="L179" s="70"/>
      <c r="M179" s="70"/>
      <c r="N179" s="70"/>
      <c r="O179" s="70"/>
      <c r="P179" s="70"/>
      <c r="Q179" s="71"/>
      <c r="R179" s="54"/>
      <c r="S179" s="72"/>
      <c r="T179" s="55"/>
      <c r="U179" s="71"/>
      <c r="V179" s="71"/>
      <c r="W179" s="71"/>
      <c r="X179" s="71"/>
      <c r="Y179" s="71"/>
      <c r="Z179" s="71"/>
      <c r="AA179" s="71"/>
      <c r="AB179" s="73"/>
      <c r="AC179" s="56"/>
      <c r="AD179" s="73"/>
      <c r="AE179" s="56"/>
      <c r="AF179" s="74"/>
      <c r="AG179" s="74"/>
      <c r="AH179" s="75"/>
      <c r="AI179" s="76"/>
      <c r="AJ179" s="76"/>
      <c r="AK179" s="93"/>
      <c r="AL179" s="93"/>
      <c r="AM179" s="93"/>
      <c r="AN179" s="93"/>
      <c r="AO179" s="93"/>
      <c r="AP179" s="93"/>
    </row>
    <row r="180" spans="1:42" ht="12.75" customHeight="1" x14ac:dyDescent="0.25">
      <c r="A180" s="93"/>
      <c r="B180" s="93"/>
      <c r="D180" s="93"/>
      <c r="E180" s="79"/>
      <c r="F180" s="59"/>
      <c r="G180" s="68"/>
      <c r="H180" s="80"/>
      <c r="I180" s="70"/>
      <c r="J180" s="70"/>
      <c r="K180" s="70"/>
      <c r="L180" s="70"/>
      <c r="M180" s="70"/>
      <c r="N180" s="70"/>
      <c r="O180" s="70"/>
      <c r="P180" s="70"/>
      <c r="Q180" s="71"/>
      <c r="R180" s="54"/>
      <c r="S180" s="81"/>
      <c r="T180" s="60"/>
      <c r="U180" s="71"/>
      <c r="V180" s="71"/>
      <c r="W180" s="71"/>
      <c r="X180" s="71"/>
      <c r="Y180" s="71"/>
      <c r="Z180" s="71"/>
      <c r="AA180" s="71"/>
      <c r="AB180" s="73"/>
      <c r="AC180" s="56"/>
      <c r="AD180" s="73"/>
      <c r="AE180" s="56"/>
      <c r="AF180" s="74"/>
      <c r="AG180" s="74"/>
      <c r="AH180" s="75"/>
      <c r="AI180" s="76"/>
      <c r="AJ180" s="76"/>
      <c r="AK180" s="93"/>
      <c r="AL180" s="93"/>
      <c r="AM180" s="93"/>
      <c r="AN180" s="93"/>
      <c r="AO180" s="93"/>
      <c r="AP180" s="93"/>
    </row>
    <row r="181" spans="1:42" ht="12.75" customHeight="1" x14ac:dyDescent="0.25">
      <c r="A181" s="93"/>
      <c r="B181" s="93"/>
      <c r="D181" s="93"/>
      <c r="E181" s="67"/>
      <c r="F181" s="58"/>
      <c r="G181" s="68"/>
      <c r="H181" s="69"/>
      <c r="I181" s="70"/>
      <c r="J181" s="70"/>
      <c r="K181" s="70"/>
      <c r="L181" s="70"/>
      <c r="M181" s="70"/>
      <c r="N181" s="70"/>
      <c r="O181" s="70"/>
      <c r="P181" s="70"/>
      <c r="Q181" s="71"/>
      <c r="R181" s="54"/>
      <c r="S181" s="77"/>
      <c r="T181" s="55"/>
      <c r="U181" s="71"/>
      <c r="V181" s="71"/>
      <c r="W181" s="71"/>
      <c r="X181" s="71"/>
      <c r="Y181" s="71"/>
      <c r="Z181" s="71"/>
      <c r="AA181" s="71"/>
      <c r="AB181" s="73"/>
      <c r="AC181" s="56"/>
      <c r="AD181" s="73"/>
      <c r="AE181" s="56"/>
      <c r="AF181" s="74"/>
      <c r="AG181" s="74"/>
      <c r="AH181" s="75"/>
      <c r="AI181" s="76"/>
      <c r="AJ181" s="76"/>
      <c r="AK181" s="93"/>
      <c r="AL181" s="93"/>
      <c r="AM181" s="93"/>
      <c r="AN181" s="93"/>
      <c r="AO181" s="93"/>
      <c r="AP181" s="93"/>
    </row>
    <row r="182" spans="1:42" ht="12.75" customHeight="1" x14ac:dyDescent="0.25">
      <c r="A182" s="93"/>
      <c r="B182" s="93"/>
      <c r="D182" s="93"/>
      <c r="E182" s="67"/>
      <c r="F182" s="58"/>
      <c r="G182" s="68"/>
      <c r="H182" s="69"/>
      <c r="I182" s="70"/>
      <c r="J182" s="70"/>
      <c r="K182" s="70"/>
      <c r="L182" s="70"/>
      <c r="M182" s="70"/>
      <c r="N182" s="70"/>
      <c r="O182" s="70"/>
      <c r="P182" s="70"/>
      <c r="Q182" s="71"/>
      <c r="R182" s="54"/>
      <c r="S182" s="72"/>
      <c r="T182" s="55"/>
      <c r="U182" s="71"/>
      <c r="V182" s="71"/>
      <c r="W182" s="71"/>
      <c r="X182" s="71"/>
      <c r="Y182" s="71"/>
      <c r="Z182" s="71"/>
      <c r="AA182" s="71"/>
      <c r="AB182" s="73"/>
      <c r="AC182" s="56"/>
      <c r="AD182" s="73"/>
      <c r="AE182" s="56"/>
      <c r="AF182" s="74"/>
      <c r="AG182" s="74"/>
      <c r="AH182" s="75"/>
      <c r="AI182" s="76"/>
      <c r="AJ182" s="76"/>
      <c r="AK182" s="93"/>
      <c r="AL182" s="93"/>
      <c r="AM182" s="93"/>
      <c r="AN182" s="93"/>
      <c r="AO182" s="93"/>
      <c r="AP182" s="93"/>
    </row>
    <row r="183" spans="1:42" ht="12.75" customHeight="1" x14ac:dyDescent="0.25">
      <c r="A183" s="93"/>
      <c r="B183" s="93"/>
      <c r="D183" s="93"/>
      <c r="E183" s="67"/>
      <c r="F183" s="58"/>
      <c r="G183" s="68"/>
      <c r="H183" s="69"/>
      <c r="I183" s="70"/>
      <c r="J183" s="70"/>
      <c r="K183" s="70"/>
      <c r="L183" s="70"/>
      <c r="M183" s="70"/>
      <c r="N183" s="70"/>
      <c r="O183" s="70"/>
      <c r="P183" s="70"/>
      <c r="Q183" s="71"/>
      <c r="R183" s="54"/>
      <c r="S183" s="72"/>
      <c r="T183" s="55"/>
      <c r="U183" s="71"/>
      <c r="V183" s="71"/>
      <c r="W183" s="71"/>
      <c r="X183" s="71"/>
      <c r="Y183" s="71"/>
      <c r="Z183" s="71"/>
      <c r="AA183" s="71"/>
      <c r="AB183" s="73"/>
      <c r="AC183" s="56"/>
      <c r="AD183" s="73"/>
      <c r="AE183" s="56"/>
      <c r="AF183" s="74"/>
      <c r="AG183" s="74"/>
      <c r="AH183" s="75"/>
      <c r="AI183" s="76"/>
      <c r="AJ183" s="76"/>
      <c r="AK183" s="93"/>
      <c r="AL183" s="93"/>
      <c r="AM183" s="93"/>
      <c r="AN183" s="93"/>
      <c r="AO183" s="93"/>
      <c r="AP183" s="93"/>
    </row>
    <row r="184" spans="1:42" ht="12.75" customHeight="1" x14ac:dyDescent="0.25">
      <c r="A184" s="93"/>
      <c r="B184" s="93"/>
      <c r="D184" s="93"/>
      <c r="E184" s="67"/>
      <c r="F184" s="58"/>
      <c r="G184" s="68"/>
      <c r="H184" s="69"/>
      <c r="I184" s="70"/>
      <c r="J184" s="70"/>
      <c r="K184" s="70"/>
      <c r="L184" s="70"/>
      <c r="M184" s="70"/>
      <c r="N184" s="70"/>
      <c r="O184" s="70"/>
      <c r="P184" s="70"/>
      <c r="Q184" s="71"/>
      <c r="R184" s="54"/>
      <c r="S184" s="72"/>
      <c r="T184" s="55"/>
      <c r="U184" s="71"/>
      <c r="V184" s="71"/>
      <c r="W184" s="71"/>
      <c r="X184" s="71"/>
      <c r="Y184" s="71"/>
      <c r="Z184" s="71"/>
      <c r="AA184" s="71"/>
      <c r="AB184" s="73"/>
      <c r="AC184" s="56"/>
      <c r="AD184" s="73"/>
      <c r="AE184" s="56"/>
      <c r="AF184" s="74"/>
      <c r="AG184" s="74"/>
      <c r="AH184" s="75"/>
      <c r="AI184" s="76"/>
      <c r="AJ184" s="76"/>
      <c r="AK184" s="93"/>
      <c r="AL184" s="93"/>
      <c r="AM184" s="93"/>
      <c r="AN184" s="93"/>
      <c r="AO184" s="93"/>
      <c r="AP184" s="93"/>
    </row>
    <row r="185" spans="1:42" ht="12.75" customHeight="1" x14ac:dyDescent="0.25">
      <c r="A185" s="93"/>
      <c r="B185" s="93"/>
      <c r="D185" s="93"/>
      <c r="E185" s="67"/>
      <c r="F185" s="58"/>
      <c r="G185" s="68"/>
      <c r="H185" s="69"/>
      <c r="I185" s="70"/>
      <c r="J185" s="70"/>
      <c r="K185" s="70"/>
      <c r="L185" s="70"/>
      <c r="M185" s="70"/>
      <c r="N185" s="70"/>
      <c r="O185" s="70"/>
      <c r="P185" s="70"/>
      <c r="Q185" s="71"/>
      <c r="R185" s="54"/>
      <c r="S185" s="72"/>
      <c r="T185" s="55"/>
      <c r="U185" s="71"/>
      <c r="V185" s="71"/>
      <c r="W185" s="71"/>
      <c r="X185" s="71"/>
      <c r="Y185" s="71"/>
      <c r="Z185" s="71"/>
      <c r="AA185" s="71"/>
      <c r="AB185" s="73"/>
      <c r="AC185" s="56"/>
      <c r="AD185" s="73"/>
      <c r="AE185" s="56"/>
      <c r="AF185" s="74"/>
      <c r="AG185" s="74"/>
      <c r="AH185" s="75"/>
      <c r="AI185" s="76"/>
      <c r="AJ185" s="76"/>
      <c r="AK185" s="93"/>
      <c r="AL185" s="93"/>
      <c r="AM185" s="93"/>
      <c r="AN185" s="93"/>
      <c r="AO185" s="93"/>
      <c r="AP185" s="93"/>
    </row>
    <row r="186" spans="1:42" ht="12.75" customHeight="1" x14ac:dyDescent="0.25">
      <c r="A186" s="93"/>
      <c r="B186" s="93"/>
      <c r="D186" s="93"/>
      <c r="E186" s="67"/>
      <c r="F186" s="58"/>
      <c r="G186" s="68"/>
      <c r="H186" s="69"/>
      <c r="I186" s="70"/>
      <c r="J186" s="70"/>
      <c r="K186" s="70"/>
      <c r="L186" s="70"/>
      <c r="M186" s="70"/>
      <c r="N186" s="70"/>
      <c r="O186" s="70"/>
      <c r="P186" s="70"/>
      <c r="Q186" s="71"/>
      <c r="R186" s="54"/>
      <c r="S186" s="77"/>
      <c r="T186" s="55"/>
      <c r="U186" s="71"/>
      <c r="V186" s="71"/>
      <c r="W186" s="71"/>
      <c r="X186" s="71"/>
      <c r="Y186" s="71"/>
      <c r="Z186" s="71"/>
      <c r="AA186" s="71"/>
      <c r="AB186" s="73"/>
      <c r="AC186" s="56"/>
      <c r="AD186" s="73"/>
      <c r="AE186" s="56"/>
      <c r="AF186" s="74"/>
      <c r="AG186" s="74"/>
      <c r="AH186" s="75"/>
      <c r="AI186" s="76"/>
      <c r="AJ186" s="76"/>
      <c r="AK186" s="93"/>
      <c r="AL186" s="93"/>
      <c r="AM186" s="93"/>
      <c r="AN186" s="93"/>
      <c r="AO186" s="93"/>
      <c r="AP186" s="93"/>
    </row>
    <row r="187" spans="1:42" ht="12.75" customHeight="1" x14ac:dyDescent="0.25">
      <c r="A187" s="93"/>
      <c r="B187" s="93"/>
      <c r="D187" s="93"/>
      <c r="E187" s="67"/>
      <c r="F187" s="58"/>
      <c r="G187" s="68"/>
      <c r="H187" s="69"/>
      <c r="I187" s="70"/>
      <c r="J187" s="70"/>
      <c r="K187" s="70"/>
      <c r="L187" s="70"/>
      <c r="M187" s="70"/>
      <c r="N187" s="70"/>
      <c r="O187" s="70"/>
      <c r="P187" s="70"/>
      <c r="Q187" s="71"/>
      <c r="R187" s="54"/>
      <c r="S187" s="77"/>
      <c r="T187" s="55"/>
      <c r="U187" s="71"/>
      <c r="V187" s="71"/>
      <c r="W187" s="71"/>
      <c r="X187" s="71"/>
      <c r="Y187" s="71"/>
      <c r="Z187" s="71"/>
      <c r="AA187" s="71"/>
      <c r="AB187" s="73"/>
      <c r="AC187" s="56"/>
      <c r="AD187" s="73"/>
      <c r="AE187" s="56"/>
      <c r="AF187" s="74"/>
      <c r="AG187" s="74"/>
      <c r="AH187" s="75"/>
      <c r="AI187" s="76"/>
      <c r="AJ187" s="76"/>
      <c r="AK187" s="93"/>
      <c r="AL187" s="93"/>
      <c r="AM187" s="93"/>
      <c r="AN187" s="93"/>
      <c r="AO187" s="93"/>
      <c r="AP187" s="93"/>
    </row>
    <row r="188" spans="1:42" ht="12.75" customHeight="1" x14ac:dyDescent="0.25">
      <c r="A188" s="93"/>
      <c r="B188" s="93"/>
      <c r="D188" s="93"/>
      <c r="E188" s="67"/>
      <c r="F188" s="58"/>
      <c r="G188" s="68"/>
      <c r="H188" s="69"/>
      <c r="I188" s="70"/>
      <c r="J188" s="70"/>
      <c r="K188" s="70"/>
      <c r="L188" s="70"/>
      <c r="M188" s="70"/>
      <c r="N188" s="70"/>
      <c r="O188" s="70"/>
      <c r="P188" s="70"/>
      <c r="Q188" s="71"/>
      <c r="R188" s="54"/>
      <c r="S188" s="77"/>
      <c r="T188" s="55"/>
      <c r="U188" s="71"/>
      <c r="V188" s="71"/>
      <c r="W188" s="71"/>
      <c r="X188" s="71"/>
      <c r="Y188" s="71"/>
      <c r="Z188" s="71"/>
      <c r="AA188" s="71"/>
      <c r="AB188" s="73"/>
      <c r="AC188" s="56"/>
      <c r="AD188" s="73"/>
      <c r="AE188" s="56"/>
      <c r="AF188" s="74"/>
      <c r="AG188" s="74"/>
      <c r="AH188" s="75"/>
      <c r="AI188" s="76"/>
      <c r="AJ188" s="76"/>
      <c r="AK188" s="93"/>
      <c r="AL188" s="93"/>
      <c r="AM188" s="93"/>
      <c r="AN188" s="93"/>
      <c r="AO188" s="93"/>
      <c r="AP188" s="93"/>
    </row>
    <row r="189" spans="1:42" ht="12.75" customHeight="1" x14ac:dyDescent="0.25">
      <c r="A189" s="93"/>
      <c r="B189" s="93"/>
      <c r="D189" s="93"/>
      <c r="E189" s="67"/>
      <c r="F189" s="58"/>
      <c r="G189" s="68"/>
      <c r="H189" s="69"/>
      <c r="I189" s="70"/>
      <c r="J189" s="70"/>
      <c r="K189" s="70"/>
      <c r="L189" s="70"/>
      <c r="M189" s="70"/>
      <c r="N189" s="70"/>
      <c r="O189" s="70"/>
      <c r="P189" s="70"/>
      <c r="Q189" s="71"/>
      <c r="R189" s="54"/>
      <c r="S189" s="72"/>
      <c r="T189" s="55"/>
      <c r="U189" s="71"/>
      <c r="V189" s="71"/>
      <c r="W189" s="71"/>
      <c r="X189" s="71"/>
      <c r="Y189" s="71"/>
      <c r="Z189" s="71"/>
      <c r="AA189" s="71"/>
      <c r="AB189" s="73"/>
      <c r="AC189" s="56"/>
      <c r="AD189" s="73"/>
      <c r="AE189" s="56"/>
      <c r="AF189" s="74"/>
      <c r="AG189" s="74"/>
      <c r="AH189" s="75"/>
      <c r="AI189" s="76"/>
      <c r="AJ189" s="76"/>
      <c r="AK189" s="93"/>
      <c r="AL189" s="93"/>
      <c r="AM189" s="93"/>
      <c r="AN189" s="93"/>
      <c r="AO189" s="93"/>
      <c r="AP189" s="93"/>
    </row>
    <row r="190" spans="1:42" ht="12.75" customHeight="1" x14ac:dyDescent="0.25">
      <c r="A190" s="93"/>
      <c r="B190" s="93"/>
      <c r="D190" s="93"/>
      <c r="E190" s="67"/>
      <c r="F190" s="58"/>
      <c r="G190" s="68"/>
      <c r="H190" s="69"/>
      <c r="I190" s="70"/>
      <c r="J190" s="70"/>
      <c r="K190" s="70"/>
      <c r="L190" s="70"/>
      <c r="M190" s="70"/>
      <c r="N190" s="70"/>
      <c r="O190" s="70"/>
      <c r="P190" s="70"/>
      <c r="Q190" s="71"/>
      <c r="R190" s="54"/>
      <c r="S190" s="72"/>
      <c r="T190" s="55"/>
      <c r="U190" s="71"/>
      <c r="V190" s="71"/>
      <c r="W190" s="71"/>
      <c r="X190" s="71"/>
      <c r="Y190" s="71"/>
      <c r="Z190" s="71"/>
      <c r="AA190" s="71"/>
      <c r="AB190" s="73"/>
      <c r="AC190" s="56"/>
      <c r="AD190" s="73"/>
      <c r="AE190" s="56"/>
      <c r="AF190" s="74"/>
      <c r="AG190" s="74"/>
      <c r="AH190" s="75"/>
      <c r="AI190" s="76"/>
      <c r="AJ190" s="76"/>
      <c r="AK190" s="93"/>
      <c r="AL190" s="93"/>
      <c r="AM190" s="93"/>
      <c r="AN190" s="93"/>
      <c r="AO190" s="93"/>
      <c r="AP190" s="93"/>
    </row>
    <row r="191" spans="1:42" ht="12.75" customHeight="1" x14ac:dyDescent="0.25">
      <c r="A191" s="93"/>
      <c r="B191" s="93"/>
      <c r="D191" s="93"/>
      <c r="E191" s="67"/>
      <c r="F191" s="58"/>
      <c r="G191" s="68"/>
      <c r="H191" s="69"/>
      <c r="I191" s="70"/>
      <c r="J191" s="70"/>
      <c r="K191" s="70"/>
      <c r="L191" s="70"/>
      <c r="M191" s="70"/>
      <c r="N191" s="70"/>
      <c r="O191" s="70"/>
      <c r="P191" s="70"/>
      <c r="Q191" s="71"/>
      <c r="R191" s="54"/>
      <c r="S191" s="72"/>
      <c r="T191" s="55"/>
      <c r="U191" s="71"/>
      <c r="V191" s="71"/>
      <c r="W191" s="71"/>
      <c r="X191" s="71"/>
      <c r="Y191" s="71"/>
      <c r="Z191" s="71"/>
      <c r="AA191" s="71"/>
      <c r="AB191" s="73"/>
      <c r="AC191" s="56"/>
      <c r="AD191" s="73"/>
      <c r="AE191" s="56"/>
      <c r="AF191" s="74"/>
      <c r="AG191" s="74"/>
      <c r="AH191" s="75"/>
      <c r="AI191" s="76"/>
      <c r="AJ191" s="76"/>
      <c r="AK191" s="93"/>
      <c r="AL191" s="93"/>
      <c r="AM191" s="93"/>
      <c r="AN191" s="93"/>
      <c r="AO191" s="93"/>
      <c r="AP191" s="93"/>
    </row>
    <row r="192" spans="1:42" ht="12.75" customHeight="1" x14ac:dyDescent="0.25">
      <c r="A192" s="93"/>
      <c r="B192" s="93"/>
      <c r="D192" s="93"/>
      <c r="E192" s="67"/>
      <c r="F192" s="58"/>
      <c r="G192" s="68"/>
      <c r="H192" s="69"/>
      <c r="I192" s="70"/>
      <c r="J192" s="70"/>
      <c r="K192" s="70"/>
      <c r="L192" s="70"/>
      <c r="M192" s="70"/>
      <c r="N192" s="70"/>
      <c r="O192" s="70"/>
      <c r="P192" s="70"/>
      <c r="Q192" s="71"/>
      <c r="R192" s="54"/>
      <c r="S192" s="77"/>
      <c r="T192" s="55"/>
      <c r="U192" s="71"/>
      <c r="V192" s="71"/>
      <c r="W192" s="71"/>
      <c r="X192" s="71"/>
      <c r="Y192" s="71"/>
      <c r="Z192" s="71"/>
      <c r="AA192" s="71"/>
      <c r="AB192" s="73"/>
      <c r="AC192" s="56"/>
      <c r="AD192" s="73"/>
      <c r="AE192" s="56"/>
      <c r="AF192" s="74"/>
      <c r="AG192" s="74"/>
      <c r="AH192" s="75"/>
      <c r="AI192" s="76"/>
      <c r="AJ192" s="76"/>
      <c r="AK192" s="93"/>
      <c r="AL192" s="93"/>
      <c r="AM192" s="93"/>
      <c r="AN192" s="93"/>
      <c r="AO192" s="93"/>
      <c r="AP192" s="93"/>
    </row>
    <row r="193" spans="1:42" ht="12.75" customHeight="1" x14ac:dyDescent="0.25">
      <c r="A193" s="93"/>
      <c r="B193" s="93"/>
      <c r="D193" s="93"/>
      <c r="E193" s="67"/>
      <c r="F193" s="58"/>
      <c r="G193" s="68"/>
      <c r="H193" s="69"/>
      <c r="I193" s="70"/>
      <c r="J193" s="70"/>
      <c r="K193" s="70"/>
      <c r="L193" s="70"/>
      <c r="M193" s="70"/>
      <c r="N193" s="70"/>
      <c r="O193" s="70"/>
      <c r="P193" s="70"/>
      <c r="Q193" s="71"/>
      <c r="R193" s="54"/>
      <c r="S193" s="72"/>
      <c r="T193" s="55"/>
      <c r="U193" s="71"/>
      <c r="V193" s="71"/>
      <c r="W193" s="71"/>
      <c r="X193" s="71"/>
      <c r="Y193" s="71"/>
      <c r="Z193" s="71"/>
      <c r="AA193" s="71"/>
      <c r="AB193" s="73"/>
      <c r="AC193" s="56"/>
      <c r="AD193" s="73"/>
      <c r="AE193" s="56"/>
      <c r="AF193" s="74"/>
      <c r="AG193" s="74"/>
      <c r="AH193" s="75"/>
      <c r="AI193" s="76"/>
      <c r="AJ193" s="76"/>
      <c r="AK193" s="93"/>
      <c r="AL193" s="93"/>
      <c r="AM193" s="93"/>
      <c r="AN193" s="93"/>
      <c r="AO193" s="93"/>
      <c r="AP193" s="93"/>
    </row>
    <row r="194" spans="1:42" ht="12.75" customHeight="1" x14ac:dyDescent="0.25">
      <c r="A194" s="93"/>
      <c r="B194" s="93"/>
      <c r="D194" s="93"/>
      <c r="E194" s="67"/>
      <c r="F194" s="58"/>
      <c r="G194" s="68"/>
      <c r="H194" s="69"/>
      <c r="I194" s="70"/>
      <c r="J194" s="70"/>
      <c r="K194" s="70"/>
      <c r="L194" s="70"/>
      <c r="M194" s="70"/>
      <c r="N194" s="70"/>
      <c r="O194" s="70"/>
      <c r="P194" s="70"/>
      <c r="Q194" s="71"/>
      <c r="R194" s="54"/>
      <c r="S194" s="77"/>
      <c r="T194" s="55"/>
      <c r="U194" s="71"/>
      <c r="V194" s="71"/>
      <c r="W194" s="71"/>
      <c r="X194" s="71"/>
      <c r="Y194" s="71"/>
      <c r="Z194" s="71"/>
      <c r="AA194" s="71"/>
      <c r="AB194" s="73"/>
      <c r="AC194" s="56"/>
      <c r="AD194" s="73"/>
      <c r="AE194" s="56"/>
      <c r="AF194" s="74"/>
      <c r="AG194" s="74"/>
      <c r="AH194" s="75"/>
      <c r="AI194" s="76"/>
      <c r="AJ194" s="76"/>
      <c r="AK194" s="93"/>
      <c r="AL194" s="93"/>
      <c r="AM194" s="93"/>
      <c r="AN194" s="93"/>
      <c r="AO194" s="93"/>
      <c r="AP194" s="93"/>
    </row>
    <row r="195" spans="1:42" ht="12.75" customHeight="1" x14ac:dyDescent="0.25">
      <c r="A195" s="93"/>
      <c r="B195" s="93"/>
      <c r="D195" s="93"/>
      <c r="E195" s="67"/>
      <c r="F195" s="58"/>
      <c r="G195" s="68"/>
      <c r="H195" s="69"/>
      <c r="I195" s="70"/>
      <c r="J195" s="70"/>
      <c r="K195" s="70"/>
      <c r="L195" s="70"/>
      <c r="M195" s="70"/>
      <c r="N195" s="70"/>
      <c r="O195" s="70"/>
      <c r="P195" s="70"/>
      <c r="Q195" s="71"/>
      <c r="R195" s="54"/>
      <c r="S195" s="72"/>
      <c r="T195" s="55"/>
      <c r="U195" s="71"/>
      <c r="V195" s="71"/>
      <c r="W195" s="71"/>
      <c r="X195" s="71"/>
      <c r="Y195" s="71"/>
      <c r="Z195" s="71"/>
      <c r="AA195" s="71"/>
      <c r="AB195" s="73"/>
      <c r="AC195" s="56"/>
      <c r="AD195" s="73"/>
      <c r="AE195" s="56"/>
      <c r="AF195" s="74"/>
      <c r="AG195" s="74"/>
      <c r="AH195" s="75"/>
      <c r="AI195" s="76"/>
      <c r="AJ195" s="76"/>
      <c r="AK195" s="93"/>
      <c r="AL195" s="93"/>
      <c r="AM195" s="93"/>
      <c r="AN195" s="93"/>
      <c r="AO195" s="93"/>
      <c r="AP195" s="93"/>
    </row>
    <row r="196" spans="1:42" ht="12.75" customHeight="1" x14ac:dyDescent="0.25">
      <c r="A196" s="93"/>
      <c r="B196" s="93"/>
      <c r="D196" s="93"/>
      <c r="E196" s="67"/>
      <c r="F196" s="58"/>
      <c r="G196" s="68"/>
      <c r="H196" s="69"/>
      <c r="I196" s="70"/>
      <c r="J196" s="70"/>
      <c r="K196" s="70"/>
      <c r="L196" s="70"/>
      <c r="M196" s="70"/>
      <c r="N196" s="70"/>
      <c r="O196" s="70"/>
      <c r="P196" s="70"/>
      <c r="Q196" s="71"/>
      <c r="R196" s="54"/>
      <c r="S196" s="72"/>
      <c r="T196" s="55"/>
      <c r="U196" s="71"/>
      <c r="V196" s="71"/>
      <c r="W196" s="71"/>
      <c r="X196" s="71"/>
      <c r="Y196" s="71"/>
      <c r="Z196" s="71"/>
      <c r="AA196" s="71"/>
      <c r="AB196" s="73"/>
      <c r="AC196" s="56"/>
      <c r="AD196" s="73"/>
      <c r="AE196" s="56"/>
      <c r="AF196" s="74"/>
      <c r="AG196" s="74"/>
      <c r="AH196" s="75"/>
      <c r="AI196" s="76"/>
      <c r="AJ196" s="76"/>
      <c r="AK196" s="93"/>
      <c r="AL196" s="93"/>
      <c r="AM196" s="93"/>
      <c r="AN196" s="93"/>
      <c r="AO196" s="93"/>
      <c r="AP196" s="93"/>
    </row>
    <row r="197" spans="1:42" ht="12.75" customHeight="1" x14ac:dyDescent="0.25">
      <c r="A197" s="93"/>
      <c r="B197" s="93"/>
      <c r="D197" s="93"/>
      <c r="E197" s="67"/>
      <c r="F197" s="58"/>
      <c r="G197" s="68"/>
      <c r="H197" s="69"/>
      <c r="I197" s="70"/>
      <c r="J197" s="70"/>
      <c r="K197" s="70"/>
      <c r="L197" s="70"/>
      <c r="M197" s="70"/>
      <c r="N197" s="70"/>
      <c r="O197" s="70"/>
      <c r="P197" s="70"/>
      <c r="Q197" s="71"/>
      <c r="R197" s="54"/>
      <c r="S197" s="77"/>
      <c r="T197" s="55"/>
      <c r="U197" s="71"/>
      <c r="V197" s="71"/>
      <c r="W197" s="71"/>
      <c r="X197" s="71"/>
      <c r="Y197" s="71"/>
      <c r="Z197" s="71"/>
      <c r="AA197" s="71"/>
      <c r="AB197" s="73"/>
      <c r="AC197" s="56"/>
      <c r="AD197" s="73"/>
      <c r="AE197" s="56"/>
      <c r="AF197" s="74"/>
      <c r="AG197" s="74"/>
      <c r="AH197" s="75"/>
      <c r="AI197" s="76"/>
      <c r="AJ197" s="76"/>
      <c r="AK197" s="93"/>
      <c r="AL197" s="93"/>
      <c r="AM197" s="93"/>
      <c r="AN197" s="93"/>
      <c r="AO197" s="93"/>
      <c r="AP197" s="93"/>
    </row>
    <row r="198" spans="1:42" ht="12.75" customHeight="1" x14ac:dyDescent="0.25">
      <c r="A198" s="93"/>
      <c r="B198" s="93"/>
      <c r="D198" s="93"/>
      <c r="E198" s="67"/>
      <c r="F198" s="58"/>
      <c r="G198" s="68"/>
      <c r="H198" s="69"/>
      <c r="I198" s="70"/>
      <c r="J198" s="70"/>
      <c r="K198" s="70"/>
      <c r="L198" s="70"/>
      <c r="M198" s="70"/>
      <c r="N198" s="70"/>
      <c r="O198" s="70"/>
      <c r="P198" s="70"/>
      <c r="Q198" s="71"/>
      <c r="R198" s="54"/>
      <c r="S198" s="72"/>
      <c r="T198" s="55"/>
      <c r="U198" s="71"/>
      <c r="V198" s="71"/>
      <c r="W198" s="71"/>
      <c r="X198" s="71"/>
      <c r="Y198" s="71"/>
      <c r="Z198" s="71"/>
      <c r="AA198" s="71"/>
      <c r="AB198" s="73"/>
      <c r="AC198" s="56"/>
      <c r="AD198" s="73"/>
      <c r="AE198" s="56"/>
      <c r="AF198" s="74"/>
      <c r="AG198" s="74"/>
      <c r="AH198" s="75"/>
      <c r="AI198" s="76"/>
      <c r="AJ198" s="76"/>
      <c r="AK198" s="93"/>
      <c r="AL198" s="93"/>
      <c r="AM198" s="93"/>
      <c r="AN198" s="93"/>
      <c r="AO198" s="93"/>
      <c r="AP198" s="93"/>
    </row>
    <row r="199" spans="1:42" ht="12.75" customHeight="1" x14ac:dyDescent="0.25">
      <c r="A199" s="93"/>
      <c r="B199" s="93"/>
      <c r="D199" s="93"/>
      <c r="E199" s="67"/>
      <c r="F199" s="58"/>
      <c r="G199" s="68"/>
      <c r="H199" s="69"/>
      <c r="I199" s="70"/>
      <c r="J199" s="70"/>
      <c r="K199" s="70"/>
      <c r="L199" s="70"/>
      <c r="M199" s="70"/>
      <c r="N199" s="70"/>
      <c r="O199" s="70"/>
      <c r="P199" s="70"/>
      <c r="Q199" s="71"/>
      <c r="R199" s="54"/>
      <c r="S199" s="77"/>
      <c r="T199" s="55"/>
      <c r="U199" s="71"/>
      <c r="V199" s="71"/>
      <c r="W199" s="71"/>
      <c r="X199" s="71"/>
      <c r="Y199" s="71"/>
      <c r="Z199" s="71"/>
      <c r="AA199" s="71"/>
      <c r="AB199" s="73"/>
      <c r="AC199" s="56"/>
      <c r="AD199" s="73"/>
      <c r="AE199" s="56"/>
      <c r="AF199" s="74"/>
      <c r="AG199" s="74"/>
      <c r="AH199" s="75"/>
      <c r="AI199" s="76"/>
      <c r="AJ199" s="76"/>
      <c r="AK199" s="93"/>
      <c r="AL199" s="93"/>
      <c r="AM199" s="93"/>
      <c r="AN199" s="93"/>
      <c r="AO199" s="93"/>
      <c r="AP199" s="93"/>
    </row>
    <row r="200" spans="1:42" ht="12.75" customHeight="1" x14ac:dyDescent="0.25">
      <c r="A200" s="93"/>
      <c r="B200" s="93"/>
      <c r="D200" s="93"/>
      <c r="E200" s="67"/>
      <c r="F200" s="58"/>
      <c r="G200" s="68"/>
      <c r="H200" s="69"/>
      <c r="I200" s="70"/>
      <c r="J200" s="70"/>
      <c r="K200" s="70"/>
      <c r="L200" s="70"/>
      <c r="M200" s="70"/>
      <c r="N200" s="70"/>
      <c r="O200" s="70"/>
      <c r="P200" s="70"/>
      <c r="Q200" s="71"/>
      <c r="R200" s="54"/>
      <c r="S200" s="72"/>
      <c r="T200" s="55"/>
      <c r="U200" s="71"/>
      <c r="V200" s="71"/>
      <c r="W200" s="71"/>
      <c r="X200" s="71"/>
      <c r="Y200" s="71"/>
      <c r="Z200" s="71"/>
      <c r="AA200" s="71"/>
      <c r="AB200" s="73"/>
      <c r="AC200" s="56"/>
      <c r="AD200" s="73"/>
      <c r="AE200" s="56"/>
      <c r="AF200" s="74"/>
      <c r="AG200" s="74"/>
      <c r="AH200" s="75"/>
      <c r="AI200" s="76"/>
      <c r="AJ200" s="76"/>
      <c r="AK200" s="93"/>
      <c r="AL200" s="93"/>
      <c r="AM200" s="93"/>
      <c r="AN200" s="93"/>
      <c r="AO200" s="93"/>
      <c r="AP200" s="93"/>
    </row>
    <row r="201" spans="1:42" ht="12.75" customHeight="1" x14ac:dyDescent="0.25">
      <c r="A201" s="93"/>
      <c r="B201" s="93"/>
      <c r="D201" s="93"/>
      <c r="E201" s="67"/>
      <c r="F201" s="58"/>
      <c r="G201" s="68"/>
      <c r="H201" s="69"/>
      <c r="I201" s="70"/>
      <c r="J201" s="70"/>
      <c r="K201" s="70"/>
      <c r="L201" s="70"/>
      <c r="M201" s="70"/>
      <c r="N201" s="70"/>
      <c r="O201" s="70"/>
      <c r="P201" s="70"/>
      <c r="Q201" s="71"/>
      <c r="R201" s="54"/>
      <c r="S201" s="77"/>
      <c r="T201" s="55"/>
      <c r="U201" s="71"/>
      <c r="V201" s="71"/>
      <c r="W201" s="71"/>
      <c r="X201" s="71"/>
      <c r="Y201" s="71"/>
      <c r="Z201" s="71"/>
      <c r="AA201" s="71"/>
      <c r="AB201" s="73"/>
      <c r="AC201" s="56"/>
      <c r="AD201" s="73"/>
      <c r="AE201" s="56"/>
      <c r="AF201" s="74"/>
      <c r="AG201" s="74"/>
      <c r="AH201" s="75"/>
      <c r="AI201" s="76"/>
      <c r="AJ201" s="76"/>
      <c r="AK201" s="93"/>
      <c r="AL201" s="93"/>
      <c r="AM201" s="93"/>
      <c r="AN201" s="93"/>
      <c r="AO201" s="93"/>
      <c r="AP201" s="93"/>
    </row>
    <row r="202" spans="1:42" ht="12.75" customHeight="1" x14ac:dyDescent="0.25">
      <c r="A202" s="93"/>
      <c r="B202" s="93"/>
      <c r="D202" s="93"/>
      <c r="E202" s="67"/>
      <c r="F202" s="58"/>
      <c r="G202" s="68"/>
      <c r="H202" s="69"/>
      <c r="I202" s="70"/>
      <c r="J202" s="70"/>
      <c r="K202" s="70"/>
      <c r="L202" s="70"/>
      <c r="M202" s="70"/>
      <c r="N202" s="70"/>
      <c r="O202" s="70"/>
      <c r="P202" s="70"/>
      <c r="Q202" s="71"/>
      <c r="R202" s="54"/>
      <c r="S202" s="72"/>
      <c r="T202" s="55"/>
      <c r="U202" s="71"/>
      <c r="V202" s="71"/>
      <c r="W202" s="71"/>
      <c r="X202" s="71"/>
      <c r="Y202" s="71"/>
      <c r="Z202" s="71"/>
      <c r="AA202" s="71"/>
      <c r="AB202" s="73"/>
      <c r="AC202" s="56"/>
      <c r="AD202" s="73"/>
      <c r="AE202" s="56"/>
      <c r="AF202" s="74"/>
      <c r="AG202" s="74"/>
      <c r="AH202" s="75"/>
      <c r="AI202" s="76"/>
      <c r="AJ202" s="76"/>
      <c r="AK202" s="93"/>
      <c r="AL202" s="93"/>
      <c r="AM202" s="93"/>
      <c r="AN202" s="93"/>
      <c r="AO202" s="93"/>
      <c r="AP202" s="93"/>
    </row>
    <row r="203" spans="1:42" ht="12.75" customHeight="1" x14ac:dyDescent="0.25">
      <c r="A203" s="93"/>
      <c r="B203" s="93"/>
      <c r="D203" s="93"/>
      <c r="E203" s="67"/>
      <c r="F203" s="58"/>
      <c r="G203" s="68"/>
      <c r="H203" s="69"/>
      <c r="I203" s="70"/>
      <c r="J203" s="70"/>
      <c r="K203" s="70"/>
      <c r="L203" s="70"/>
      <c r="M203" s="70"/>
      <c r="N203" s="70"/>
      <c r="O203" s="70"/>
      <c r="P203" s="70"/>
      <c r="Q203" s="71"/>
      <c r="R203" s="54"/>
      <c r="S203" s="72"/>
      <c r="T203" s="55"/>
      <c r="U203" s="71"/>
      <c r="V203" s="71"/>
      <c r="W203" s="71"/>
      <c r="X203" s="71"/>
      <c r="Y203" s="71"/>
      <c r="Z203" s="71"/>
      <c r="AA203" s="71"/>
      <c r="AB203" s="73"/>
      <c r="AC203" s="56"/>
      <c r="AD203" s="73"/>
      <c r="AE203" s="56"/>
      <c r="AF203" s="74"/>
      <c r="AG203" s="74"/>
      <c r="AH203" s="75"/>
      <c r="AI203" s="76"/>
      <c r="AJ203" s="76"/>
      <c r="AK203" s="93"/>
      <c r="AL203" s="93"/>
      <c r="AM203" s="93"/>
      <c r="AN203" s="93"/>
      <c r="AO203" s="93"/>
      <c r="AP203" s="93"/>
    </row>
    <row r="204" spans="1:42" ht="12.75" customHeight="1" x14ac:dyDescent="0.25">
      <c r="A204" s="93"/>
      <c r="B204" s="93"/>
      <c r="D204" s="93"/>
      <c r="E204" s="67"/>
      <c r="F204" s="58"/>
      <c r="G204" s="68"/>
      <c r="H204" s="69"/>
      <c r="I204" s="70"/>
      <c r="J204" s="70"/>
      <c r="K204" s="70"/>
      <c r="L204" s="70"/>
      <c r="M204" s="70"/>
      <c r="N204" s="70"/>
      <c r="O204" s="70"/>
      <c r="P204" s="70"/>
      <c r="Q204" s="71"/>
      <c r="R204" s="54"/>
      <c r="S204" s="72"/>
      <c r="T204" s="55"/>
      <c r="U204" s="71"/>
      <c r="V204" s="71"/>
      <c r="W204" s="71"/>
      <c r="X204" s="71"/>
      <c r="Y204" s="71"/>
      <c r="Z204" s="71"/>
      <c r="AA204" s="71"/>
      <c r="AB204" s="73"/>
      <c r="AC204" s="56"/>
      <c r="AD204" s="73"/>
      <c r="AE204" s="56"/>
      <c r="AF204" s="74"/>
      <c r="AG204" s="74"/>
      <c r="AH204" s="75"/>
      <c r="AI204" s="76"/>
      <c r="AJ204" s="76"/>
      <c r="AK204" s="93"/>
      <c r="AL204" s="93"/>
      <c r="AM204" s="93"/>
      <c r="AN204" s="93"/>
      <c r="AO204" s="93"/>
      <c r="AP204" s="93"/>
    </row>
    <row r="205" spans="1:42" ht="12.75" customHeight="1" x14ac:dyDescent="0.25">
      <c r="A205" s="93"/>
      <c r="B205" s="93"/>
      <c r="D205" s="93"/>
      <c r="E205" s="67"/>
      <c r="F205" s="58"/>
      <c r="G205" s="68"/>
      <c r="H205" s="69"/>
      <c r="I205" s="70"/>
      <c r="J205" s="70"/>
      <c r="K205" s="70"/>
      <c r="L205" s="70"/>
      <c r="M205" s="70"/>
      <c r="N205" s="70"/>
      <c r="O205" s="70"/>
      <c r="P205" s="70"/>
      <c r="Q205" s="71"/>
      <c r="R205" s="54"/>
      <c r="S205" s="72"/>
      <c r="T205" s="55"/>
      <c r="U205" s="71"/>
      <c r="V205" s="71"/>
      <c r="W205" s="71"/>
      <c r="X205" s="71"/>
      <c r="Y205" s="71"/>
      <c r="Z205" s="71"/>
      <c r="AA205" s="71"/>
      <c r="AB205" s="73"/>
      <c r="AC205" s="56"/>
      <c r="AD205" s="73"/>
      <c r="AE205" s="56"/>
      <c r="AF205" s="74"/>
      <c r="AG205" s="74"/>
      <c r="AH205" s="75"/>
      <c r="AI205" s="76"/>
      <c r="AJ205" s="76"/>
      <c r="AK205" s="93"/>
      <c r="AL205" s="93"/>
      <c r="AM205" s="93"/>
      <c r="AN205" s="93"/>
      <c r="AO205" s="93"/>
      <c r="AP205" s="93"/>
    </row>
    <row r="206" spans="1:42" ht="12.75" customHeight="1" x14ac:dyDescent="0.25">
      <c r="A206" s="93"/>
      <c r="B206" s="93"/>
      <c r="D206" s="93"/>
      <c r="E206" s="67"/>
      <c r="F206" s="58"/>
      <c r="G206" s="68"/>
      <c r="H206" s="69"/>
      <c r="I206" s="70"/>
      <c r="J206" s="70"/>
      <c r="K206" s="70"/>
      <c r="L206" s="70"/>
      <c r="M206" s="70"/>
      <c r="N206" s="70"/>
      <c r="O206" s="70"/>
      <c r="P206" s="70"/>
      <c r="Q206" s="71"/>
      <c r="R206" s="54"/>
      <c r="S206" s="72"/>
      <c r="T206" s="55"/>
      <c r="U206" s="71"/>
      <c r="V206" s="71"/>
      <c r="W206" s="71"/>
      <c r="X206" s="71"/>
      <c r="Y206" s="71"/>
      <c r="Z206" s="71"/>
      <c r="AA206" s="71"/>
      <c r="AB206" s="73"/>
      <c r="AC206" s="56"/>
      <c r="AD206" s="73"/>
      <c r="AE206" s="56"/>
      <c r="AF206" s="74"/>
      <c r="AG206" s="74"/>
      <c r="AH206" s="75"/>
      <c r="AI206" s="76"/>
      <c r="AJ206" s="76"/>
      <c r="AK206" s="93"/>
      <c r="AL206" s="93"/>
      <c r="AM206" s="93"/>
      <c r="AN206" s="93"/>
      <c r="AO206" s="93"/>
      <c r="AP206" s="93"/>
    </row>
    <row r="207" spans="1:42" ht="12.75" customHeight="1" x14ac:dyDescent="0.25">
      <c r="A207" s="93"/>
      <c r="B207" s="93"/>
      <c r="D207" s="93"/>
      <c r="E207" s="67"/>
      <c r="F207" s="58"/>
      <c r="G207" s="68"/>
      <c r="H207" s="69"/>
      <c r="I207" s="70"/>
      <c r="J207" s="70"/>
      <c r="K207" s="70"/>
      <c r="L207" s="70"/>
      <c r="M207" s="70"/>
      <c r="N207" s="70"/>
      <c r="O207" s="70"/>
      <c r="P207" s="70"/>
      <c r="Q207" s="71"/>
      <c r="R207" s="54"/>
      <c r="S207" s="72"/>
      <c r="T207" s="55"/>
      <c r="U207" s="71"/>
      <c r="V207" s="71"/>
      <c r="W207" s="71"/>
      <c r="X207" s="71"/>
      <c r="Y207" s="71"/>
      <c r="Z207" s="71"/>
      <c r="AA207" s="71"/>
      <c r="AB207" s="73"/>
      <c r="AC207" s="56"/>
      <c r="AD207" s="73"/>
      <c r="AE207" s="56"/>
      <c r="AF207" s="74"/>
      <c r="AG207" s="74"/>
      <c r="AH207" s="75"/>
      <c r="AI207" s="76"/>
      <c r="AJ207" s="76"/>
      <c r="AK207" s="93"/>
      <c r="AL207" s="93"/>
      <c r="AM207" s="93"/>
      <c r="AN207" s="93"/>
      <c r="AO207" s="93"/>
      <c r="AP207" s="93"/>
    </row>
    <row r="208" spans="1:42" ht="12.75" customHeight="1" x14ac:dyDescent="0.25">
      <c r="A208" s="93"/>
      <c r="B208" s="93"/>
      <c r="D208" s="93"/>
      <c r="E208" s="67"/>
      <c r="F208" s="58"/>
      <c r="G208" s="68"/>
      <c r="H208" s="69"/>
      <c r="I208" s="70"/>
      <c r="J208" s="70"/>
      <c r="K208" s="70"/>
      <c r="L208" s="70"/>
      <c r="M208" s="70"/>
      <c r="N208" s="70"/>
      <c r="O208" s="70"/>
      <c r="P208" s="70"/>
      <c r="Q208" s="71"/>
      <c r="R208" s="54"/>
      <c r="S208" s="72"/>
      <c r="T208" s="55"/>
      <c r="U208" s="71"/>
      <c r="V208" s="71"/>
      <c r="W208" s="71"/>
      <c r="X208" s="71"/>
      <c r="Y208" s="71"/>
      <c r="Z208" s="71"/>
      <c r="AA208" s="71"/>
      <c r="AB208" s="73"/>
      <c r="AC208" s="56"/>
      <c r="AD208" s="73"/>
      <c r="AE208" s="56"/>
      <c r="AF208" s="74"/>
      <c r="AG208" s="74"/>
      <c r="AH208" s="75"/>
      <c r="AI208" s="76"/>
      <c r="AJ208" s="76"/>
      <c r="AK208" s="93"/>
      <c r="AL208" s="93"/>
      <c r="AM208" s="93"/>
      <c r="AN208" s="93"/>
      <c r="AO208" s="93"/>
      <c r="AP208" s="93"/>
    </row>
    <row r="209" spans="1:42" ht="12.75" customHeight="1" x14ac:dyDescent="0.25">
      <c r="A209" s="93"/>
      <c r="B209" s="93"/>
      <c r="D209" s="93"/>
      <c r="E209" s="67"/>
      <c r="F209" s="58"/>
      <c r="G209" s="68"/>
      <c r="H209" s="69"/>
      <c r="I209" s="70"/>
      <c r="J209" s="70"/>
      <c r="K209" s="70"/>
      <c r="L209" s="70"/>
      <c r="M209" s="70"/>
      <c r="N209" s="70"/>
      <c r="O209" s="70"/>
      <c r="P209" s="70"/>
      <c r="Q209" s="71"/>
      <c r="R209" s="54"/>
      <c r="S209" s="72"/>
      <c r="T209" s="55"/>
      <c r="U209" s="71"/>
      <c r="V209" s="71"/>
      <c r="W209" s="71"/>
      <c r="X209" s="71"/>
      <c r="Y209" s="71"/>
      <c r="Z209" s="71"/>
      <c r="AA209" s="71"/>
      <c r="AB209" s="73"/>
      <c r="AC209" s="56"/>
      <c r="AD209" s="73"/>
      <c r="AE209" s="56"/>
      <c r="AF209" s="74"/>
      <c r="AG209" s="74"/>
      <c r="AH209" s="75"/>
      <c r="AI209" s="76"/>
      <c r="AJ209" s="76"/>
      <c r="AK209" s="93"/>
      <c r="AL209" s="93"/>
      <c r="AM209" s="93"/>
      <c r="AN209" s="93"/>
      <c r="AO209" s="93"/>
      <c r="AP209" s="93"/>
    </row>
    <row r="210" spans="1:42" ht="12.75" customHeight="1" x14ac:dyDescent="0.25">
      <c r="A210" s="93"/>
      <c r="B210" s="93"/>
      <c r="D210" s="93"/>
      <c r="E210" s="67"/>
      <c r="F210" s="58"/>
      <c r="G210" s="68"/>
      <c r="H210" s="69"/>
      <c r="I210" s="70"/>
      <c r="J210" s="70"/>
      <c r="K210" s="70"/>
      <c r="L210" s="70"/>
      <c r="M210" s="70"/>
      <c r="N210" s="70"/>
      <c r="O210" s="70"/>
      <c r="P210" s="70"/>
      <c r="Q210" s="71"/>
      <c r="R210" s="54"/>
      <c r="S210" s="72"/>
      <c r="T210" s="55"/>
      <c r="U210" s="71"/>
      <c r="V210" s="71"/>
      <c r="W210" s="71"/>
      <c r="X210" s="71"/>
      <c r="Y210" s="71"/>
      <c r="Z210" s="71"/>
      <c r="AA210" s="71"/>
      <c r="AB210" s="73"/>
      <c r="AC210" s="56"/>
      <c r="AD210" s="73"/>
      <c r="AE210" s="56"/>
      <c r="AF210" s="74"/>
      <c r="AG210" s="74"/>
      <c r="AH210" s="75"/>
      <c r="AI210" s="76"/>
      <c r="AJ210" s="76"/>
      <c r="AK210" s="93"/>
      <c r="AL210" s="93"/>
      <c r="AM210" s="93"/>
      <c r="AN210" s="93"/>
      <c r="AO210" s="93"/>
      <c r="AP210" s="93"/>
    </row>
    <row r="211" spans="1:42" ht="12.75" customHeight="1" x14ac:dyDescent="0.25">
      <c r="A211" s="93"/>
      <c r="B211" s="93"/>
      <c r="D211" s="93"/>
      <c r="E211" s="67"/>
      <c r="F211" s="58"/>
      <c r="G211" s="68"/>
      <c r="H211" s="69"/>
      <c r="I211" s="70"/>
      <c r="J211" s="70"/>
      <c r="K211" s="70"/>
      <c r="L211" s="70"/>
      <c r="M211" s="70"/>
      <c r="N211" s="70"/>
      <c r="O211" s="70"/>
      <c r="P211" s="70"/>
      <c r="Q211" s="71"/>
      <c r="R211" s="54"/>
      <c r="S211" s="77"/>
      <c r="T211" s="55"/>
      <c r="U211" s="71"/>
      <c r="V211" s="71"/>
      <c r="W211" s="71"/>
      <c r="X211" s="71"/>
      <c r="Y211" s="71"/>
      <c r="Z211" s="71"/>
      <c r="AA211" s="71"/>
      <c r="AB211" s="73"/>
      <c r="AC211" s="56"/>
      <c r="AD211" s="73"/>
      <c r="AE211" s="56"/>
      <c r="AF211" s="74"/>
      <c r="AG211" s="74"/>
      <c r="AH211" s="75"/>
      <c r="AI211" s="76"/>
      <c r="AJ211" s="76"/>
      <c r="AK211" s="93"/>
      <c r="AL211" s="93"/>
      <c r="AM211" s="93"/>
      <c r="AN211" s="93"/>
      <c r="AO211" s="93"/>
      <c r="AP211" s="93"/>
    </row>
    <row r="212" spans="1:42" ht="12.75" customHeight="1" x14ac:dyDescent="0.25">
      <c r="A212" s="93"/>
      <c r="B212" s="93"/>
      <c r="D212" s="93"/>
      <c r="E212" s="67"/>
      <c r="F212" s="58"/>
      <c r="G212" s="68"/>
      <c r="H212" s="69"/>
      <c r="I212" s="70"/>
      <c r="J212" s="70"/>
      <c r="K212" s="70"/>
      <c r="L212" s="70"/>
      <c r="M212" s="70"/>
      <c r="N212" s="70"/>
      <c r="O212" s="70"/>
      <c r="P212" s="70"/>
      <c r="Q212" s="71"/>
      <c r="R212" s="54"/>
      <c r="S212" s="72"/>
      <c r="T212" s="55"/>
      <c r="U212" s="71"/>
      <c r="V212" s="71"/>
      <c r="W212" s="71"/>
      <c r="X212" s="71"/>
      <c r="Y212" s="71"/>
      <c r="Z212" s="71"/>
      <c r="AA212" s="71"/>
      <c r="AB212" s="73"/>
      <c r="AC212" s="56"/>
      <c r="AD212" s="73"/>
      <c r="AE212" s="56"/>
      <c r="AF212" s="74"/>
      <c r="AG212" s="74"/>
      <c r="AH212" s="75"/>
      <c r="AI212" s="76"/>
      <c r="AJ212" s="76"/>
      <c r="AK212" s="93"/>
      <c r="AL212" s="93"/>
      <c r="AM212" s="93"/>
      <c r="AN212" s="93"/>
      <c r="AO212" s="93"/>
      <c r="AP212" s="93"/>
    </row>
    <row r="213" spans="1:42" ht="12.75" customHeight="1" x14ac:dyDescent="0.25">
      <c r="A213" s="93"/>
      <c r="B213" s="93"/>
      <c r="D213" s="93"/>
      <c r="E213" s="67"/>
      <c r="F213" s="58"/>
      <c r="G213" s="68"/>
      <c r="H213" s="69"/>
      <c r="I213" s="70"/>
      <c r="J213" s="70"/>
      <c r="K213" s="70"/>
      <c r="L213" s="70"/>
      <c r="M213" s="70"/>
      <c r="N213" s="70"/>
      <c r="O213" s="70"/>
      <c r="P213" s="70"/>
      <c r="Q213" s="71"/>
      <c r="R213" s="54"/>
      <c r="S213" s="72"/>
      <c r="T213" s="55"/>
      <c r="U213" s="71"/>
      <c r="V213" s="71"/>
      <c r="W213" s="71"/>
      <c r="X213" s="71"/>
      <c r="Y213" s="71"/>
      <c r="Z213" s="71"/>
      <c r="AA213" s="71"/>
      <c r="AB213" s="73"/>
      <c r="AC213" s="56"/>
      <c r="AD213" s="73"/>
      <c r="AE213" s="56"/>
      <c r="AF213" s="74"/>
      <c r="AG213" s="74"/>
      <c r="AH213" s="75"/>
      <c r="AI213" s="76"/>
      <c r="AJ213" s="76"/>
      <c r="AK213" s="93"/>
      <c r="AL213" s="93"/>
      <c r="AM213" s="93"/>
      <c r="AN213" s="93"/>
      <c r="AO213" s="93"/>
      <c r="AP213" s="93"/>
    </row>
    <row r="214" spans="1:42" ht="12.75" customHeight="1" x14ac:dyDescent="0.25">
      <c r="A214" s="93"/>
      <c r="B214" s="93"/>
      <c r="D214" s="93"/>
      <c r="E214" s="67"/>
      <c r="F214" s="58"/>
      <c r="G214" s="68"/>
      <c r="H214" s="69"/>
      <c r="I214" s="70"/>
      <c r="J214" s="70"/>
      <c r="K214" s="70"/>
      <c r="L214" s="70"/>
      <c r="M214" s="70"/>
      <c r="N214" s="70"/>
      <c r="O214" s="70"/>
      <c r="P214" s="70"/>
      <c r="Q214" s="71"/>
      <c r="R214" s="54"/>
      <c r="S214" s="72"/>
      <c r="T214" s="55"/>
      <c r="U214" s="71"/>
      <c r="V214" s="71"/>
      <c r="W214" s="71"/>
      <c r="X214" s="71"/>
      <c r="Y214" s="71"/>
      <c r="Z214" s="71"/>
      <c r="AA214" s="71"/>
      <c r="AB214" s="73"/>
      <c r="AC214" s="56"/>
      <c r="AD214" s="73"/>
      <c r="AE214" s="56"/>
      <c r="AF214" s="74"/>
      <c r="AG214" s="74"/>
      <c r="AH214" s="75"/>
      <c r="AI214" s="76"/>
      <c r="AJ214" s="76"/>
      <c r="AK214" s="93"/>
      <c r="AL214" s="93"/>
      <c r="AM214" s="93"/>
      <c r="AN214" s="93"/>
      <c r="AO214" s="93"/>
      <c r="AP214" s="93"/>
    </row>
    <row r="215" spans="1:42" ht="12.75" customHeight="1" x14ac:dyDescent="0.25">
      <c r="A215" s="93"/>
      <c r="B215" s="93"/>
      <c r="D215" s="93"/>
      <c r="E215" s="67"/>
      <c r="F215" s="58"/>
      <c r="G215" s="68"/>
      <c r="H215" s="69"/>
      <c r="I215" s="70"/>
      <c r="J215" s="70"/>
      <c r="K215" s="70"/>
      <c r="L215" s="70"/>
      <c r="M215" s="70"/>
      <c r="N215" s="70"/>
      <c r="O215" s="70"/>
      <c r="P215" s="70"/>
      <c r="Q215" s="71"/>
      <c r="R215" s="54"/>
      <c r="S215" s="72"/>
      <c r="T215" s="55"/>
      <c r="U215" s="71"/>
      <c r="V215" s="71"/>
      <c r="W215" s="71"/>
      <c r="X215" s="71"/>
      <c r="Y215" s="71"/>
      <c r="Z215" s="71"/>
      <c r="AA215" s="71"/>
      <c r="AB215" s="73"/>
      <c r="AC215" s="56"/>
      <c r="AD215" s="73"/>
      <c r="AE215" s="56"/>
      <c r="AF215" s="74"/>
      <c r="AG215" s="74"/>
      <c r="AH215" s="75"/>
      <c r="AI215" s="76"/>
      <c r="AJ215" s="76"/>
      <c r="AK215" s="93"/>
      <c r="AL215" s="93"/>
      <c r="AM215" s="93"/>
      <c r="AN215" s="93"/>
      <c r="AO215" s="93"/>
      <c r="AP215" s="93"/>
    </row>
    <row r="216" spans="1:42" ht="12.75" customHeight="1" x14ac:dyDescent="0.25">
      <c r="A216" s="93"/>
      <c r="B216" s="93"/>
      <c r="D216" s="93"/>
      <c r="E216" s="67"/>
      <c r="F216" s="58"/>
      <c r="G216" s="68"/>
      <c r="H216" s="69"/>
      <c r="I216" s="70"/>
      <c r="J216" s="70"/>
      <c r="K216" s="70"/>
      <c r="L216" s="70"/>
      <c r="M216" s="70"/>
      <c r="N216" s="70"/>
      <c r="O216" s="70"/>
      <c r="P216" s="70"/>
      <c r="Q216" s="71"/>
      <c r="R216" s="54"/>
      <c r="S216" s="72"/>
      <c r="T216" s="55"/>
      <c r="U216" s="71"/>
      <c r="V216" s="71"/>
      <c r="W216" s="71"/>
      <c r="X216" s="71"/>
      <c r="Y216" s="71"/>
      <c r="Z216" s="71"/>
      <c r="AA216" s="71"/>
      <c r="AB216" s="73"/>
      <c r="AC216" s="56"/>
      <c r="AD216" s="73"/>
      <c r="AE216" s="56"/>
      <c r="AF216" s="74"/>
      <c r="AG216" s="74"/>
      <c r="AH216" s="75"/>
      <c r="AI216" s="76"/>
      <c r="AJ216" s="76"/>
      <c r="AK216" s="93"/>
      <c r="AL216" s="93"/>
      <c r="AM216" s="93"/>
      <c r="AN216" s="93"/>
      <c r="AO216" s="93"/>
      <c r="AP216" s="93"/>
    </row>
    <row r="217" spans="1:42" ht="12.75" customHeight="1" x14ac:dyDescent="0.25">
      <c r="A217" s="93"/>
      <c r="B217" s="93"/>
      <c r="D217" s="93"/>
      <c r="E217" s="67"/>
      <c r="F217" s="58"/>
      <c r="G217" s="68"/>
      <c r="H217" s="69"/>
      <c r="I217" s="70"/>
      <c r="J217" s="70"/>
      <c r="K217" s="70"/>
      <c r="L217" s="70"/>
      <c r="M217" s="70"/>
      <c r="N217" s="70"/>
      <c r="O217" s="70"/>
      <c r="P217" s="70"/>
      <c r="Q217" s="71"/>
      <c r="R217" s="54"/>
      <c r="S217" s="72"/>
      <c r="T217" s="55"/>
      <c r="U217" s="71"/>
      <c r="V217" s="71"/>
      <c r="W217" s="71"/>
      <c r="X217" s="71"/>
      <c r="Y217" s="71"/>
      <c r="Z217" s="71"/>
      <c r="AA217" s="71"/>
      <c r="AB217" s="73"/>
      <c r="AC217" s="56"/>
      <c r="AD217" s="73"/>
      <c r="AE217" s="56"/>
      <c r="AF217" s="74"/>
      <c r="AG217" s="74"/>
      <c r="AH217" s="75"/>
      <c r="AI217" s="76"/>
      <c r="AJ217" s="76"/>
      <c r="AK217" s="93"/>
      <c r="AL217" s="93"/>
      <c r="AM217" s="93"/>
      <c r="AN217" s="93"/>
      <c r="AO217" s="93"/>
      <c r="AP217" s="93"/>
    </row>
    <row r="218" spans="1:42" ht="12.75" customHeight="1" x14ac:dyDescent="0.25">
      <c r="A218" s="93"/>
      <c r="B218" s="93"/>
      <c r="D218" s="93"/>
      <c r="E218" s="67"/>
      <c r="F218" s="58"/>
      <c r="G218" s="68"/>
      <c r="H218" s="69"/>
      <c r="I218" s="70"/>
      <c r="J218" s="70"/>
      <c r="K218" s="70"/>
      <c r="L218" s="70"/>
      <c r="M218" s="70"/>
      <c r="N218" s="70"/>
      <c r="O218" s="70"/>
      <c r="P218" s="70"/>
      <c r="Q218" s="71"/>
      <c r="R218" s="54"/>
      <c r="S218" s="72"/>
      <c r="T218" s="55"/>
      <c r="U218" s="71"/>
      <c r="V218" s="71"/>
      <c r="W218" s="71"/>
      <c r="X218" s="71"/>
      <c r="Y218" s="71"/>
      <c r="Z218" s="71"/>
      <c r="AA218" s="71"/>
      <c r="AB218" s="73"/>
      <c r="AC218" s="56"/>
      <c r="AD218" s="73"/>
      <c r="AE218" s="56"/>
      <c r="AF218" s="74"/>
      <c r="AG218" s="74"/>
      <c r="AH218" s="75"/>
      <c r="AI218" s="76"/>
      <c r="AJ218" s="76"/>
      <c r="AK218" s="93"/>
      <c r="AL218" s="93"/>
      <c r="AM218" s="93"/>
      <c r="AN218" s="93"/>
      <c r="AO218" s="93"/>
      <c r="AP218" s="93"/>
    </row>
    <row r="219" spans="1:42" ht="12.75" customHeight="1" x14ac:dyDescent="0.25">
      <c r="A219" s="93"/>
      <c r="B219" s="93"/>
      <c r="D219" s="93"/>
      <c r="E219" s="67"/>
      <c r="F219" s="58"/>
      <c r="G219" s="68"/>
      <c r="H219" s="69"/>
      <c r="I219" s="70"/>
      <c r="J219" s="70"/>
      <c r="K219" s="70"/>
      <c r="L219" s="70"/>
      <c r="M219" s="70"/>
      <c r="N219" s="70"/>
      <c r="O219" s="70"/>
      <c r="P219" s="70"/>
      <c r="Q219" s="71"/>
      <c r="R219" s="54"/>
      <c r="S219" s="72"/>
      <c r="T219" s="55"/>
      <c r="U219" s="71"/>
      <c r="V219" s="71"/>
      <c r="W219" s="71"/>
      <c r="X219" s="71"/>
      <c r="Y219" s="71"/>
      <c r="Z219" s="71"/>
      <c r="AA219" s="71"/>
      <c r="AB219" s="73"/>
      <c r="AC219" s="56"/>
      <c r="AD219" s="73"/>
      <c r="AE219" s="56"/>
      <c r="AF219" s="74"/>
      <c r="AG219" s="74"/>
      <c r="AH219" s="75"/>
      <c r="AI219" s="76"/>
      <c r="AJ219" s="76"/>
      <c r="AK219" s="93"/>
      <c r="AL219" s="93"/>
      <c r="AM219" s="93"/>
      <c r="AN219" s="93"/>
      <c r="AO219" s="93"/>
      <c r="AP219" s="93"/>
    </row>
    <row r="220" spans="1:42" ht="12.75" customHeight="1" x14ac:dyDescent="0.25">
      <c r="A220" s="93"/>
      <c r="B220" s="93"/>
      <c r="D220" s="93"/>
      <c r="E220" s="67"/>
      <c r="F220" s="58"/>
      <c r="G220" s="68"/>
      <c r="H220" s="69"/>
      <c r="I220" s="70"/>
      <c r="J220" s="70"/>
      <c r="K220" s="70"/>
      <c r="L220" s="70"/>
      <c r="M220" s="70"/>
      <c r="N220" s="70"/>
      <c r="O220" s="70"/>
      <c r="P220" s="70"/>
      <c r="Q220" s="71"/>
      <c r="R220" s="54"/>
      <c r="S220" s="72"/>
      <c r="T220" s="55"/>
      <c r="U220" s="71"/>
      <c r="V220" s="71"/>
      <c r="W220" s="71"/>
      <c r="X220" s="71"/>
      <c r="Y220" s="71"/>
      <c r="Z220" s="71"/>
      <c r="AA220" s="71"/>
      <c r="AB220" s="73"/>
      <c r="AC220" s="56"/>
      <c r="AD220" s="73"/>
      <c r="AE220" s="56"/>
      <c r="AF220" s="74"/>
      <c r="AG220" s="74"/>
      <c r="AH220" s="75"/>
      <c r="AI220" s="76"/>
      <c r="AJ220" s="76"/>
      <c r="AK220" s="93"/>
      <c r="AL220" s="93"/>
      <c r="AM220" s="93"/>
      <c r="AN220" s="93"/>
      <c r="AO220" s="93"/>
      <c r="AP220" s="93"/>
    </row>
    <row r="221" spans="1:42" ht="12.75" customHeight="1" x14ac:dyDescent="0.25">
      <c r="A221" s="93"/>
      <c r="B221" s="93"/>
      <c r="D221" s="93"/>
      <c r="E221" s="67"/>
      <c r="F221" s="58"/>
      <c r="G221" s="68"/>
      <c r="H221" s="69"/>
      <c r="I221" s="70"/>
      <c r="J221" s="70"/>
      <c r="K221" s="70"/>
      <c r="L221" s="70"/>
      <c r="M221" s="70"/>
      <c r="N221" s="70"/>
      <c r="O221" s="70"/>
      <c r="P221" s="70"/>
      <c r="Q221" s="71"/>
      <c r="R221" s="54"/>
      <c r="S221" s="72"/>
      <c r="T221" s="55"/>
      <c r="U221" s="71"/>
      <c r="V221" s="71"/>
      <c r="W221" s="71"/>
      <c r="X221" s="71"/>
      <c r="Y221" s="71"/>
      <c r="Z221" s="71"/>
      <c r="AA221" s="71"/>
      <c r="AB221" s="73"/>
      <c r="AC221" s="56"/>
      <c r="AD221" s="73"/>
      <c r="AE221" s="56"/>
      <c r="AF221" s="74"/>
      <c r="AG221" s="74"/>
      <c r="AH221" s="75"/>
      <c r="AI221" s="76"/>
      <c r="AJ221" s="76"/>
      <c r="AK221" s="93"/>
      <c r="AL221" s="93"/>
      <c r="AM221" s="93"/>
      <c r="AN221" s="93"/>
      <c r="AO221" s="93"/>
      <c r="AP221" s="93"/>
    </row>
    <row r="222" spans="1:42" ht="12.75" customHeight="1" x14ac:dyDescent="0.25">
      <c r="A222" s="93"/>
      <c r="B222" s="93"/>
      <c r="D222" s="93"/>
      <c r="E222" s="67"/>
      <c r="F222" s="58"/>
      <c r="G222" s="68"/>
      <c r="H222" s="69"/>
      <c r="I222" s="70"/>
      <c r="J222" s="70"/>
      <c r="K222" s="70"/>
      <c r="L222" s="70"/>
      <c r="M222" s="70"/>
      <c r="N222" s="70"/>
      <c r="O222" s="70"/>
      <c r="P222" s="70"/>
      <c r="Q222" s="71"/>
      <c r="R222" s="54"/>
      <c r="S222" s="72"/>
      <c r="T222" s="55"/>
      <c r="U222" s="71"/>
      <c r="V222" s="71"/>
      <c r="W222" s="71"/>
      <c r="X222" s="71"/>
      <c r="Y222" s="71"/>
      <c r="Z222" s="71"/>
      <c r="AA222" s="71"/>
      <c r="AB222" s="73"/>
      <c r="AC222" s="56"/>
      <c r="AD222" s="73"/>
      <c r="AE222" s="56"/>
      <c r="AF222" s="74"/>
      <c r="AG222" s="74"/>
      <c r="AH222" s="75"/>
      <c r="AI222" s="76"/>
      <c r="AJ222" s="76"/>
      <c r="AK222" s="93"/>
      <c r="AL222" s="93"/>
      <c r="AM222" s="93"/>
      <c r="AN222" s="93"/>
      <c r="AO222" s="93"/>
      <c r="AP222" s="93"/>
    </row>
    <row r="223" spans="1:42" ht="12.75" customHeight="1" x14ac:dyDescent="0.25">
      <c r="A223" s="93"/>
      <c r="B223" s="93"/>
      <c r="D223" s="93"/>
      <c r="E223" s="67"/>
      <c r="F223" s="58"/>
      <c r="G223" s="68"/>
      <c r="H223" s="69"/>
      <c r="I223" s="70"/>
      <c r="J223" s="70"/>
      <c r="K223" s="70"/>
      <c r="L223" s="70"/>
      <c r="M223" s="70"/>
      <c r="N223" s="70"/>
      <c r="O223" s="70"/>
      <c r="P223" s="70"/>
      <c r="Q223" s="71"/>
      <c r="R223" s="54"/>
      <c r="S223" s="72"/>
      <c r="T223" s="55"/>
      <c r="U223" s="71"/>
      <c r="V223" s="71"/>
      <c r="W223" s="71"/>
      <c r="X223" s="71"/>
      <c r="Y223" s="71"/>
      <c r="Z223" s="71"/>
      <c r="AA223" s="71"/>
      <c r="AB223" s="73"/>
      <c r="AC223" s="56"/>
      <c r="AD223" s="73"/>
      <c r="AE223" s="56"/>
      <c r="AF223" s="74"/>
      <c r="AG223" s="74"/>
      <c r="AH223" s="75"/>
      <c r="AI223" s="76"/>
      <c r="AJ223" s="76"/>
      <c r="AK223" s="93"/>
      <c r="AL223" s="93"/>
      <c r="AM223" s="93"/>
      <c r="AN223" s="93"/>
      <c r="AO223" s="93"/>
      <c r="AP223" s="93"/>
    </row>
    <row r="224" spans="1:42" ht="12.75" customHeight="1" x14ac:dyDescent="0.25">
      <c r="A224" s="93"/>
      <c r="B224" s="93"/>
      <c r="D224" s="93"/>
      <c r="E224" s="67"/>
      <c r="F224" s="58"/>
      <c r="G224" s="68"/>
      <c r="H224" s="69"/>
      <c r="I224" s="70"/>
      <c r="J224" s="70"/>
      <c r="K224" s="70"/>
      <c r="L224" s="70"/>
      <c r="M224" s="70"/>
      <c r="N224" s="70"/>
      <c r="O224" s="70"/>
      <c r="P224" s="70"/>
      <c r="Q224" s="71"/>
      <c r="R224" s="54"/>
      <c r="S224" s="72"/>
      <c r="T224" s="55"/>
      <c r="U224" s="71"/>
      <c r="V224" s="71"/>
      <c r="W224" s="71"/>
      <c r="X224" s="71"/>
      <c r="Y224" s="71"/>
      <c r="Z224" s="71"/>
      <c r="AA224" s="71"/>
      <c r="AB224" s="73"/>
      <c r="AC224" s="56"/>
      <c r="AD224" s="73"/>
      <c r="AE224" s="56"/>
      <c r="AF224" s="74"/>
      <c r="AG224" s="74"/>
      <c r="AH224" s="75"/>
      <c r="AI224" s="76"/>
      <c r="AJ224" s="76"/>
      <c r="AK224" s="93"/>
      <c r="AL224" s="93"/>
      <c r="AM224" s="93"/>
      <c r="AN224" s="93"/>
      <c r="AO224" s="93"/>
      <c r="AP224" s="93"/>
    </row>
    <row r="225" spans="1:42" ht="12.75" customHeight="1" x14ac:dyDescent="0.25">
      <c r="A225" s="93"/>
      <c r="B225" s="93"/>
      <c r="D225" s="93"/>
      <c r="E225" s="67"/>
      <c r="F225" s="58"/>
      <c r="G225" s="68"/>
      <c r="H225" s="69"/>
      <c r="I225" s="70"/>
      <c r="J225" s="70"/>
      <c r="K225" s="70"/>
      <c r="L225" s="70"/>
      <c r="M225" s="70"/>
      <c r="N225" s="70"/>
      <c r="O225" s="70"/>
      <c r="P225" s="70"/>
      <c r="Q225" s="71"/>
      <c r="R225" s="54"/>
      <c r="S225" s="72"/>
      <c r="T225" s="55"/>
      <c r="U225" s="71"/>
      <c r="V225" s="71"/>
      <c r="W225" s="71"/>
      <c r="X225" s="71"/>
      <c r="Y225" s="71"/>
      <c r="Z225" s="71"/>
      <c r="AA225" s="71"/>
      <c r="AB225" s="73"/>
      <c r="AC225" s="56"/>
      <c r="AD225" s="73"/>
      <c r="AE225" s="56"/>
      <c r="AF225" s="74"/>
      <c r="AG225" s="74"/>
      <c r="AH225" s="75"/>
      <c r="AI225" s="76"/>
      <c r="AJ225" s="76"/>
      <c r="AK225" s="93"/>
      <c r="AL225" s="93"/>
      <c r="AM225" s="93"/>
      <c r="AN225" s="93"/>
      <c r="AO225" s="93"/>
      <c r="AP225" s="93"/>
    </row>
    <row r="226" spans="1:42" ht="12.75" customHeight="1" x14ac:dyDescent="0.25">
      <c r="A226" s="93"/>
      <c r="B226" s="93"/>
      <c r="D226" s="93"/>
      <c r="E226" s="67"/>
      <c r="F226" s="58"/>
      <c r="G226" s="68"/>
      <c r="H226" s="69"/>
      <c r="I226" s="70"/>
      <c r="J226" s="70"/>
      <c r="K226" s="70"/>
      <c r="L226" s="70"/>
      <c r="M226" s="70"/>
      <c r="N226" s="70"/>
      <c r="O226" s="70"/>
      <c r="P226" s="70"/>
      <c r="Q226" s="71"/>
      <c r="R226" s="54"/>
      <c r="S226" s="72"/>
      <c r="T226" s="55"/>
      <c r="U226" s="71"/>
      <c r="V226" s="71"/>
      <c r="W226" s="71"/>
      <c r="X226" s="71"/>
      <c r="Y226" s="71"/>
      <c r="Z226" s="71"/>
      <c r="AA226" s="71"/>
      <c r="AB226" s="73"/>
      <c r="AC226" s="56"/>
      <c r="AD226" s="73"/>
      <c r="AE226" s="56"/>
      <c r="AF226" s="74"/>
      <c r="AG226" s="74"/>
      <c r="AH226" s="75"/>
      <c r="AI226" s="76"/>
      <c r="AJ226" s="76"/>
      <c r="AK226" s="93"/>
      <c r="AL226" s="93"/>
      <c r="AM226" s="93"/>
      <c r="AN226" s="93"/>
      <c r="AO226" s="93"/>
      <c r="AP226" s="93"/>
    </row>
    <row r="227" spans="1:42" ht="12.75" customHeight="1" x14ac:dyDescent="0.25">
      <c r="A227" s="93"/>
      <c r="B227" s="93"/>
      <c r="D227" s="93"/>
      <c r="E227" s="67"/>
      <c r="F227" s="58"/>
      <c r="G227" s="68"/>
      <c r="H227" s="69"/>
      <c r="I227" s="70"/>
      <c r="J227" s="70"/>
      <c r="K227" s="70"/>
      <c r="L227" s="70"/>
      <c r="M227" s="70"/>
      <c r="N227" s="70"/>
      <c r="O227" s="70"/>
      <c r="P227" s="70"/>
      <c r="Q227" s="71"/>
      <c r="R227" s="54"/>
      <c r="S227" s="78"/>
      <c r="T227" s="55"/>
      <c r="U227" s="71"/>
      <c r="V227" s="71"/>
      <c r="W227" s="71"/>
      <c r="X227" s="71"/>
      <c r="Y227" s="71"/>
      <c r="Z227" s="71"/>
      <c r="AA227" s="71"/>
      <c r="AB227" s="73"/>
      <c r="AC227" s="56"/>
      <c r="AD227" s="73"/>
      <c r="AE227" s="56"/>
      <c r="AF227" s="74"/>
      <c r="AG227" s="74"/>
      <c r="AH227" s="75"/>
      <c r="AI227" s="76"/>
      <c r="AJ227" s="76"/>
      <c r="AK227" s="93"/>
      <c r="AL227" s="93"/>
      <c r="AM227" s="93"/>
      <c r="AN227" s="93"/>
      <c r="AO227" s="93"/>
      <c r="AP227" s="93"/>
    </row>
    <row r="228" spans="1:42" ht="12.75" customHeight="1" x14ac:dyDescent="0.25">
      <c r="A228" s="93"/>
      <c r="B228" s="93"/>
      <c r="D228" s="93"/>
      <c r="E228" s="67"/>
      <c r="F228" s="58"/>
      <c r="G228" s="68"/>
      <c r="H228" s="69"/>
      <c r="I228" s="70"/>
      <c r="J228" s="70"/>
      <c r="K228" s="70"/>
      <c r="L228" s="70"/>
      <c r="M228" s="70"/>
      <c r="N228" s="70"/>
      <c r="O228" s="70"/>
      <c r="P228" s="70"/>
      <c r="Q228" s="71"/>
      <c r="R228" s="54"/>
      <c r="S228" s="78"/>
      <c r="T228" s="55"/>
      <c r="U228" s="71"/>
      <c r="V228" s="71"/>
      <c r="W228" s="71"/>
      <c r="X228" s="71"/>
      <c r="Y228" s="71"/>
      <c r="Z228" s="71"/>
      <c r="AA228" s="71"/>
      <c r="AB228" s="73"/>
      <c r="AC228" s="56"/>
      <c r="AD228" s="73"/>
      <c r="AE228" s="56"/>
      <c r="AF228" s="74"/>
      <c r="AG228" s="74"/>
      <c r="AH228" s="75"/>
      <c r="AI228" s="76"/>
      <c r="AJ228" s="76"/>
      <c r="AK228" s="93"/>
      <c r="AL228" s="93"/>
      <c r="AM228" s="93"/>
      <c r="AN228" s="93"/>
      <c r="AO228" s="93"/>
      <c r="AP228" s="93"/>
    </row>
    <row r="229" spans="1:42" ht="12.75" customHeight="1" x14ac:dyDescent="0.25">
      <c r="A229" s="93"/>
      <c r="B229" s="93"/>
      <c r="D229" s="93"/>
      <c r="E229" s="67"/>
      <c r="F229" s="58"/>
      <c r="G229" s="68"/>
      <c r="H229" s="69"/>
      <c r="I229" s="70"/>
      <c r="J229" s="70"/>
      <c r="K229" s="70"/>
      <c r="L229" s="70"/>
      <c r="M229" s="70"/>
      <c r="N229" s="70"/>
      <c r="O229" s="70"/>
      <c r="P229" s="70"/>
      <c r="Q229" s="71"/>
      <c r="R229" s="54"/>
      <c r="S229" s="78"/>
      <c r="T229" s="55"/>
      <c r="U229" s="71"/>
      <c r="V229" s="71"/>
      <c r="W229" s="71"/>
      <c r="X229" s="71"/>
      <c r="Y229" s="71"/>
      <c r="Z229" s="71"/>
      <c r="AA229" s="71"/>
      <c r="AB229" s="73"/>
      <c r="AC229" s="56"/>
      <c r="AD229" s="73"/>
      <c r="AE229" s="56"/>
      <c r="AF229" s="74"/>
      <c r="AG229" s="74"/>
      <c r="AH229" s="75"/>
      <c r="AI229" s="76"/>
      <c r="AJ229" s="76"/>
      <c r="AK229" s="93"/>
      <c r="AL229" s="93"/>
      <c r="AM229" s="93"/>
      <c r="AN229" s="93"/>
      <c r="AO229" s="93"/>
      <c r="AP229" s="93"/>
    </row>
    <row r="230" spans="1:42" ht="12.75" customHeight="1" x14ac:dyDescent="0.25">
      <c r="A230" s="93"/>
      <c r="B230" s="93"/>
      <c r="D230" s="93"/>
      <c r="E230" s="67"/>
      <c r="F230" s="58"/>
      <c r="G230" s="68"/>
      <c r="H230" s="69"/>
      <c r="I230" s="70"/>
      <c r="J230" s="70"/>
      <c r="K230" s="70"/>
      <c r="L230" s="70"/>
      <c r="M230" s="70"/>
      <c r="N230" s="70"/>
      <c r="O230" s="70"/>
      <c r="P230" s="70"/>
      <c r="Q230" s="71"/>
      <c r="R230" s="54"/>
      <c r="S230" s="78"/>
      <c r="T230" s="55"/>
      <c r="U230" s="71"/>
      <c r="V230" s="71"/>
      <c r="W230" s="71"/>
      <c r="X230" s="71"/>
      <c r="Y230" s="71"/>
      <c r="Z230" s="71"/>
      <c r="AA230" s="71"/>
      <c r="AB230" s="73"/>
      <c r="AC230" s="56"/>
      <c r="AD230" s="73"/>
      <c r="AE230" s="56"/>
      <c r="AF230" s="74"/>
      <c r="AG230" s="74"/>
      <c r="AH230" s="75"/>
      <c r="AI230" s="76"/>
      <c r="AJ230" s="76"/>
      <c r="AK230" s="93"/>
      <c r="AL230" s="93"/>
      <c r="AM230" s="93"/>
      <c r="AN230" s="93"/>
      <c r="AO230" s="93"/>
      <c r="AP230" s="93"/>
    </row>
    <row r="231" spans="1:42" ht="12.75" customHeight="1" x14ac:dyDescent="0.25">
      <c r="A231" s="93"/>
      <c r="B231" s="93"/>
      <c r="D231" s="93"/>
      <c r="E231" s="67"/>
      <c r="F231" s="58"/>
      <c r="G231" s="68"/>
      <c r="H231" s="69"/>
      <c r="I231" s="70"/>
      <c r="J231" s="70"/>
      <c r="K231" s="70"/>
      <c r="L231" s="70"/>
      <c r="M231" s="70"/>
      <c r="N231" s="70"/>
      <c r="O231" s="70"/>
      <c r="P231" s="70"/>
      <c r="Q231" s="71"/>
      <c r="R231" s="54"/>
      <c r="S231" s="78"/>
      <c r="T231" s="55"/>
      <c r="U231" s="71"/>
      <c r="V231" s="71"/>
      <c r="W231" s="71"/>
      <c r="X231" s="71"/>
      <c r="Y231" s="71"/>
      <c r="Z231" s="71"/>
      <c r="AA231" s="71"/>
      <c r="AB231" s="73"/>
      <c r="AC231" s="56"/>
      <c r="AD231" s="73"/>
      <c r="AE231" s="56"/>
      <c r="AF231" s="74"/>
      <c r="AG231" s="74"/>
      <c r="AH231" s="75"/>
      <c r="AI231" s="76"/>
      <c r="AJ231" s="76"/>
      <c r="AK231" s="93"/>
      <c r="AL231" s="93"/>
      <c r="AM231" s="93"/>
      <c r="AN231" s="93"/>
      <c r="AO231" s="93"/>
      <c r="AP231" s="93"/>
    </row>
    <row r="232" spans="1:42" ht="12.75" customHeight="1" x14ac:dyDescent="0.25">
      <c r="A232" s="93"/>
      <c r="B232" s="93"/>
      <c r="D232" s="93"/>
      <c r="E232" s="67"/>
      <c r="F232" s="58"/>
      <c r="G232" s="68"/>
      <c r="H232" s="69"/>
      <c r="I232" s="70"/>
      <c r="J232" s="70"/>
      <c r="K232" s="70"/>
      <c r="L232" s="70"/>
      <c r="M232" s="70"/>
      <c r="N232" s="70"/>
      <c r="O232" s="70"/>
      <c r="P232" s="70"/>
      <c r="Q232" s="71"/>
      <c r="R232" s="54"/>
      <c r="S232" s="78"/>
      <c r="T232" s="55"/>
      <c r="U232" s="71"/>
      <c r="V232" s="71"/>
      <c r="W232" s="71"/>
      <c r="X232" s="71"/>
      <c r="Y232" s="71"/>
      <c r="Z232" s="71"/>
      <c r="AA232" s="71"/>
      <c r="AB232" s="73"/>
      <c r="AC232" s="56"/>
      <c r="AD232" s="73"/>
      <c r="AE232" s="56"/>
      <c r="AF232" s="74"/>
      <c r="AG232" s="74"/>
      <c r="AH232" s="75"/>
      <c r="AI232" s="76"/>
      <c r="AJ232" s="76"/>
      <c r="AK232" s="93"/>
      <c r="AL232" s="93"/>
      <c r="AM232" s="93"/>
      <c r="AN232" s="93"/>
      <c r="AO232" s="93"/>
      <c r="AP232" s="93"/>
    </row>
    <row r="233" spans="1:42" ht="12.75" customHeight="1" x14ac:dyDescent="0.25">
      <c r="A233" s="93"/>
      <c r="B233" s="93"/>
      <c r="D233" s="93"/>
      <c r="E233" s="67"/>
      <c r="F233" s="61"/>
      <c r="G233" s="68"/>
      <c r="H233" s="69"/>
      <c r="I233" s="70"/>
      <c r="J233" s="70"/>
      <c r="K233" s="70"/>
      <c r="L233" s="70"/>
      <c r="M233" s="70"/>
      <c r="N233" s="70"/>
      <c r="O233" s="70"/>
      <c r="P233" s="70"/>
      <c r="Q233" s="71"/>
      <c r="R233" s="54"/>
      <c r="S233" s="78"/>
      <c r="T233" s="55"/>
      <c r="U233" s="71"/>
      <c r="V233" s="71"/>
      <c r="W233" s="71"/>
      <c r="X233" s="71"/>
      <c r="Y233" s="71"/>
      <c r="Z233" s="71"/>
      <c r="AA233" s="71"/>
      <c r="AB233" s="73"/>
      <c r="AC233" s="56"/>
      <c r="AD233" s="73"/>
      <c r="AE233" s="56"/>
      <c r="AF233" s="74"/>
      <c r="AG233" s="74"/>
      <c r="AH233" s="75"/>
      <c r="AI233" s="76"/>
      <c r="AJ233" s="76"/>
      <c r="AK233" s="93"/>
      <c r="AL233" s="93"/>
      <c r="AM233" s="93"/>
      <c r="AN233" s="93"/>
      <c r="AO233" s="93"/>
      <c r="AP233" s="93"/>
    </row>
    <row r="234" spans="1:42" ht="12.75" customHeight="1" x14ac:dyDescent="0.25">
      <c r="A234" s="93"/>
      <c r="B234" s="93"/>
      <c r="D234" s="93"/>
      <c r="E234" s="67"/>
      <c r="F234" s="61"/>
      <c r="G234" s="68"/>
      <c r="H234" s="69"/>
      <c r="I234" s="70"/>
      <c r="J234" s="70"/>
      <c r="K234" s="70"/>
      <c r="L234" s="70"/>
      <c r="M234" s="70"/>
      <c r="N234" s="70"/>
      <c r="O234" s="70"/>
      <c r="P234" s="70"/>
      <c r="Q234" s="71"/>
      <c r="R234" s="54"/>
      <c r="S234" s="78"/>
      <c r="T234" s="55"/>
      <c r="U234" s="71"/>
      <c r="V234" s="71"/>
      <c r="W234" s="71"/>
      <c r="X234" s="71"/>
      <c r="Y234" s="71"/>
      <c r="Z234" s="71"/>
      <c r="AA234" s="71"/>
      <c r="AB234" s="73"/>
      <c r="AC234" s="56"/>
      <c r="AD234" s="73"/>
      <c r="AE234" s="56"/>
      <c r="AF234" s="74"/>
      <c r="AG234" s="74"/>
      <c r="AH234" s="75"/>
      <c r="AI234" s="76"/>
      <c r="AJ234" s="76"/>
      <c r="AK234" s="93"/>
      <c r="AL234" s="93"/>
      <c r="AM234" s="93"/>
      <c r="AN234" s="93"/>
      <c r="AO234" s="93"/>
      <c r="AP234" s="93"/>
    </row>
    <row r="235" spans="1:42" ht="12.75" customHeight="1" x14ac:dyDescent="0.25">
      <c r="A235" s="93"/>
      <c r="B235" s="93"/>
      <c r="D235" s="93"/>
      <c r="E235" s="82"/>
      <c r="F235" s="62"/>
      <c r="G235" s="68"/>
      <c r="H235" s="83"/>
      <c r="I235" s="70"/>
      <c r="J235" s="70"/>
      <c r="K235" s="70"/>
      <c r="L235" s="70"/>
      <c r="M235" s="70"/>
      <c r="N235" s="70"/>
      <c r="O235" s="70"/>
      <c r="P235" s="70"/>
      <c r="Q235" s="71"/>
      <c r="R235" s="54"/>
      <c r="S235" s="84"/>
      <c r="T235" s="63"/>
      <c r="U235" s="71"/>
      <c r="V235" s="71"/>
      <c r="W235" s="71"/>
      <c r="X235" s="71"/>
      <c r="Y235" s="71"/>
      <c r="Z235" s="71"/>
      <c r="AA235" s="71"/>
      <c r="AB235" s="73"/>
      <c r="AC235" s="56"/>
      <c r="AD235" s="73"/>
      <c r="AE235" s="56"/>
      <c r="AF235" s="74"/>
      <c r="AG235" s="74"/>
      <c r="AH235" s="75"/>
      <c r="AI235" s="76"/>
      <c r="AJ235" s="76"/>
      <c r="AK235" s="93"/>
      <c r="AL235" s="93"/>
      <c r="AM235" s="93"/>
      <c r="AN235" s="93"/>
      <c r="AO235" s="93"/>
      <c r="AP235" s="93"/>
    </row>
    <row r="236" spans="1:42" ht="12.75" customHeight="1" x14ac:dyDescent="0.25">
      <c r="A236" s="93"/>
      <c r="B236" s="93"/>
      <c r="D236" s="93"/>
      <c r="E236" s="67"/>
      <c r="F236" s="58"/>
      <c r="G236" s="68"/>
      <c r="H236" s="69"/>
      <c r="I236" s="70"/>
      <c r="J236" s="70"/>
      <c r="K236" s="70"/>
      <c r="L236" s="70"/>
      <c r="M236" s="70"/>
      <c r="N236" s="70"/>
      <c r="O236" s="70"/>
      <c r="P236" s="70"/>
      <c r="Q236" s="71"/>
      <c r="R236" s="54"/>
      <c r="S236" s="78"/>
      <c r="T236" s="64"/>
      <c r="U236" s="71"/>
      <c r="V236" s="71"/>
      <c r="W236" s="71"/>
      <c r="X236" s="71"/>
      <c r="Y236" s="71"/>
      <c r="Z236" s="71"/>
      <c r="AA236" s="71"/>
      <c r="AB236" s="73"/>
      <c r="AC236" s="56"/>
      <c r="AD236" s="73"/>
      <c r="AE236" s="56"/>
      <c r="AF236" s="74"/>
      <c r="AG236" s="74"/>
      <c r="AH236" s="75"/>
      <c r="AI236" s="76"/>
      <c r="AJ236" s="76"/>
      <c r="AK236" s="93"/>
      <c r="AL236" s="93"/>
      <c r="AM236" s="93"/>
      <c r="AN236" s="93"/>
      <c r="AO236" s="93"/>
      <c r="AP236" s="93"/>
    </row>
    <row r="237" spans="1:42" ht="12.75" customHeight="1" x14ac:dyDescent="0.25">
      <c r="A237" s="93"/>
      <c r="B237" s="93"/>
      <c r="D237" s="93"/>
      <c r="E237" s="67"/>
      <c r="F237" s="58"/>
      <c r="G237" s="68"/>
      <c r="H237" s="69"/>
      <c r="I237" s="70"/>
      <c r="J237" s="70"/>
      <c r="K237" s="70"/>
      <c r="L237" s="70"/>
      <c r="M237" s="70"/>
      <c r="N237" s="70"/>
      <c r="O237" s="70"/>
      <c r="P237" s="70"/>
      <c r="Q237" s="71"/>
      <c r="R237" s="54"/>
      <c r="S237" s="78"/>
      <c r="T237" s="55"/>
      <c r="U237" s="71"/>
      <c r="V237" s="71"/>
      <c r="W237" s="71"/>
      <c r="X237" s="71"/>
      <c r="Y237" s="71"/>
      <c r="Z237" s="71"/>
      <c r="AA237" s="71"/>
      <c r="AB237" s="73"/>
      <c r="AC237" s="56"/>
      <c r="AD237" s="73"/>
      <c r="AE237" s="56"/>
      <c r="AF237" s="74"/>
      <c r="AG237" s="74"/>
      <c r="AH237" s="75"/>
      <c r="AI237" s="76"/>
      <c r="AJ237" s="76"/>
      <c r="AK237" s="93"/>
      <c r="AL237" s="93"/>
      <c r="AM237" s="93"/>
      <c r="AN237" s="93"/>
      <c r="AO237" s="93"/>
      <c r="AP237" s="93"/>
    </row>
    <row r="238" spans="1:42" ht="12.75" customHeight="1" x14ac:dyDescent="0.25">
      <c r="A238" s="93"/>
      <c r="B238" s="93"/>
      <c r="D238" s="93"/>
      <c r="E238" s="67"/>
      <c r="F238" s="58"/>
      <c r="G238" s="68"/>
      <c r="H238" s="69"/>
      <c r="I238" s="70"/>
      <c r="J238" s="70"/>
      <c r="K238" s="70"/>
      <c r="L238" s="70"/>
      <c r="M238" s="70"/>
      <c r="N238" s="70"/>
      <c r="O238" s="70"/>
      <c r="P238" s="70"/>
      <c r="Q238" s="71"/>
      <c r="R238" s="54"/>
      <c r="S238" s="78"/>
      <c r="T238" s="55"/>
      <c r="U238" s="71"/>
      <c r="V238" s="71"/>
      <c r="W238" s="71"/>
      <c r="X238" s="71"/>
      <c r="Y238" s="71"/>
      <c r="Z238" s="71"/>
      <c r="AA238" s="71"/>
      <c r="AB238" s="73"/>
      <c r="AC238" s="56"/>
      <c r="AD238" s="73"/>
      <c r="AE238" s="56"/>
      <c r="AF238" s="74"/>
      <c r="AG238" s="74"/>
      <c r="AH238" s="75"/>
      <c r="AI238" s="76"/>
      <c r="AJ238" s="76"/>
      <c r="AK238" s="93"/>
      <c r="AL238" s="93"/>
      <c r="AM238" s="93"/>
      <c r="AN238" s="93"/>
      <c r="AO238" s="93"/>
      <c r="AP238" s="93"/>
    </row>
    <row r="239" spans="1:42" ht="12.75" customHeight="1" x14ac:dyDescent="0.25">
      <c r="A239" s="93"/>
      <c r="B239" s="93"/>
      <c r="D239" s="93"/>
      <c r="E239" s="67"/>
      <c r="F239" s="58"/>
      <c r="G239" s="68"/>
      <c r="H239" s="69"/>
      <c r="I239" s="70"/>
      <c r="J239" s="70"/>
      <c r="K239" s="70"/>
      <c r="L239" s="70"/>
      <c r="M239" s="70"/>
      <c r="N239" s="70"/>
      <c r="O239" s="70"/>
      <c r="P239" s="70"/>
      <c r="Q239" s="71"/>
      <c r="R239" s="54"/>
      <c r="S239" s="78"/>
      <c r="T239" s="55"/>
      <c r="U239" s="71"/>
      <c r="V239" s="71"/>
      <c r="W239" s="71"/>
      <c r="X239" s="71"/>
      <c r="Y239" s="71"/>
      <c r="Z239" s="71"/>
      <c r="AA239" s="71"/>
      <c r="AB239" s="73"/>
      <c r="AC239" s="56"/>
      <c r="AD239" s="73"/>
      <c r="AE239" s="56"/>
      <c r="AF239" s="74"/>
      <c r="AG239" s="74"/>
      <c r="AH239" s="75"/>
      <c r="AI239" s="76"/>
      <c r="AJ239" s="76"/>
      <c r="AK239" s="93"/>
      <c r="AL239" s="93"/>
      <c r="AM239" s="93"/>
      <c r="AN239" s="93"/>
      <c r="AO239" s="93"/>
      <c r="AP239" s="93"/>
    </row>
    <row r="240" spans="1:42" ht="12.75" customHeight="1" x14ac:dyDescent="0.25">
      <c r="A240" s="93"/>
      <c r="B240" s="93"/>
      <c r="D240" s="93"/>
      <c r="E240" s="67"/>
      <c r="F240" s="58"/>
      <c r="G240" s="68"/>
      <c r="H240" s="69"/>
      <c r="I240" s="70"/>
      <c r="J240" s="70"/>
      <c r="K240" s="70"/>
      <c r="L240" s="70"/>
      <c r="M240" s="70"/>
      <c r="N240" s="70"/>
      <c r="O240" s="70"/>
      <c r="P240" s="70"/>
      <c r="Q240" s="71"/>
      <c r="R240" s="54"/>
      <c r="S240" s="78"/>
      <c r="T240" s="55"/>
      <c r="U240" s="71"/>
      <c r="V240" s="71"/>
      <c r="W240" s="71"/>
      <c r="X240" s="71"/>
      <c r="Y240" s="71"/>
      <c r="Z240" s="71"/>
      <c r="AA240" s="71"/>
      <c r="AB240" s="73"/>
      <c r="AC240" s="56"/>
      <c r="AD240" s="73"/>
      <c r="AE240" s="56"/>
      <c r="AF240" s="74"/>
      <c r="AG240" s="74"/>
      <c r="AH240" s="75"/>
      <c r="AI240" s="76"/>
      <c r="AJ240" s="76"/>
      <c r="AK240" s="93"/>
      <c r="AL240" s="93"/>
      <c r="AM240" s="93"/>
      <c r="AN240" s="93"/>
      <c r="AO240" s="93"/>
      <c r="AP240" s="93"/>
    </row>
    <row r="241" spans="1:42" ht="12.75" customHeight="1" x14ac:dyDescent="0.25">
      <c r="A241" s="93"/>
      <c r="B241" s="93"/>
      <c r="D241" s="93"/>
      <c r="E241" s="67"/>
      <c r="F241" s="58"/>
      <c r="G241" s="68"/>
      <c r="H241" s="69"/>
      <c r="I241" s="70"/>
      <c r="J241" s="70"/>
      <c r="K241" s="70"/>
      <c r="L241" s="70"/>
      <c r="M241" s="70"/>
      <c r="N241" s="70"/>
      <c r="O241" s="70"/>
      <c r="P241" s="70"/>
      <c r="Q241" s="71"/>
      <c r="R241" s="54"/>
      <c r="S241" s="78"/>
      <c r="T241" s="55"/>
      <c r="U241" s="71"/>
      <c r="V241" s="71"/>
      <c r="W241" s="71"/>
      <c r="X241" s="71"/>
      <c r="Y241" s="71"/>
      <c r="Z241" s="71"/>
      <c r="AA241" s="71"/>
      <c r="AB241" s="73"/>
      <c r="AC241" s="56"/>
      <c r="AD241" s="73"/>
      <c r="AE241" s="56"/>
      <c r="AF241" s="74"/>
      <c r="AG241" s="74"/>
      <c r="AH241" s="75"/>
      <c r="AI241" s="76"/>
      <c r="AJ241" s="76"/>
      <c r="AK241" s="93"/>
      <c r="AL241" s="93"/>
      <c r="AM241" s="93"/>
      <c r="AN241" s="93"/>
      <c r="AO241" s="93"/>
      <c r="AP241" s="93"/>
    </row>
    <row r="242" spans="1:42" ht="12.75" customHeight="1" x14ac:dyDescent="0.25">
      <c r="A242" s="93"/>
      <c r="B242" s="93"/>
      <c r="D242" s="93"/>
      <c r="E242" s="67"/>
      <c r="F242" s="58"/>
      <c r="G242" s="68"/>
      <c r="H242" s="69"/>
      <c r="I242" s="70"/>
      <c r="J242" s="70"/>
      <c r="K242" s="70"/>
      <c r="L242" s="70"/>
      <c r="M242" s="70"/>
      <c r="N242" s="70"/>
      <c r="O242" s="70"/>
      <c r="P242" s="70"/>
      <c r="Q242" s="71"/>
      <c r="R242" s="54"/>
      <c r="S242" s="78"/>
      <c r="T242" s="55"/>
      <c r="U242" s="71"/>
      <c r="V242" s="71"/>
      <c r="W242" s="71"/>
      <c r="X242" s="71"/>
      <c r="Y242" s="71"/>
      <c r="Z242" s="71"/>
      <c r="AA242" s="71"/>
      <c r="AB242" s="73"/>
      <c r="AC242" s="56"/>
      <c r="AD242" s="73"/>
      <c r="AE242" s="56"/>
      <c r="AF242" s="74"/>
      <c r="AG242" s="74"/>
      <c r="AH242" s="75"/>
      <c r="AI242" s="76"/>
      <c r="AJ242" s="76"/>
      <c r="AK242" s="93"/>
      <c r="AL242" s="93"/>
      <c r="AM242" s="93"/>
      <c r="AN242" s="93"/>
      <c r="AO242" s="93"/>
      <c r="AP242" s="93"/>
    </row>
    <row r="243" spans="1:42" ht="12.75" customHeight="1" x14ac:dyDescent="0.25">
      <c r="A243" s="93"/>
      <c r="B243" s="93"/>
      <c r="D243" s="93"/>
      <c r="E243" s="67"/>
      <c r="F243" s="58"/>
      <c r="G243" s="68"/>
      <c r="H243" s="69"/>
      <c r="I243" s="70"/>
      <c r="J243" s="70"/>
      <c r="K243" s="70"/>
      <c r="L243" s="70"/>
      <c r="M243" s="70"/>
      <c r="N243" s="70"/>
      <c r="O243" s="70"/>
      <c r="P243" s="70"/>
      <c r="Q243" s="71"/>
      <c r="R243" s="54"/>
      <c r="S243" s="78"/>
      <c r="T243" s="55"/>
      <c r="U243" s="71"/>
      <c r="V243" s="71"/>
      <c r="W243" s="71"/>
      <c r="X243" s="71"/>
      <c r="Y243" s="71"/>
      <c r="Z243" s="71"/>
      <c r="AA243" s="71"/>
      <c r="AB243" s="73"/>
      <c r="AC243" s="56"/>
      <c r="AD243" s="73"/>
      <c r="AE243" s="56"/>
      <c r="AF243" s="74"/>
      <c r="AG243" s="74"/>
      <c r="AH243" s="75"/>
      <c r="AI243" s="76"/>
      <c r="AJ243" s="76"/>
      <c r="AK243" s="93"/>
      <c r="AL243" s="93"/>
      <c r="AM243" s="93"/>
      <c r="AN243" s="93"/>
      <c r="AO243" s="93"/>
      <c r="AP243" s="93"/>
    </row>
    <row r="244" spans="1:42" ht="12.75" customHeight="1" x14ac:dyDescent="0.25">
      <c r="A244" s="93"/>
      <c r="B244" s="93"/>
      <c r="D244" s="93"/>
      <c r="E244" s="67"/>
      <c r="F244" s="58"/>
      <c r="G244" s="68"/>
      <c r="H244" s="69"/>
      <c r="I244" s="70"/>
      <c r="J244" s="70"/>
      <c r="K244" s="70"/>
      <c r="L244" s="70"/>
      <c r="M244" s="70"/>
      <c r="N244" s="70"/>
      <c r="O244" s="70"/>
      <c r="P244" s="70"/>
      <c r="Q244" s="71"/>
      <c r="R244" s="54"/>
      <c r="S244" s="78"/>
      <c r="T244" s="55"/>
      <c r="U244" s="71"/>
      <c r="V244" s="71"/>
      <c r="W244" s="71"/>
      <c r="X244" s="71"/>
      <c r="Y244" s="71"/>
      <c r="Z244" s="71"/>
      <c r="AA244" s="71"/>
      <c r="AB244" s="73"/>
      <c r="AC244" s="56"/>
      <c r="AD244" s="73"/>
      <c r="AE244" s="56"/>
      <c r="AF244" s="74"/>
      <c r="AG244" s="74"/>
      <c r="AH244" s="75"/>
      <c r="AI244" s="76"/>
      <c r="AJ244" s="76"/>
      <c r="AK244" s="93"/>
      <c r="AL244" s="93"/>
      <c r="AM244" s="93"/>
      <c r="AN244" s="93"/>
      <c r="AO244" s="93"/>
      <c r="AP244" s="93"/>
    </row>
    <row r="245" spans="1:42" ht="12.75" customHeight="1" x14ac:dyDescent="0.25">
      <c r="A245" s="93"/>
      <c r="B245" s="93"/>
      <c r="D245" s="93"/>
      <c r="E245" s="67"/>
      <c r="F245" s="58"/>
      <c r="G245" s="68"/>
      <c r="H245" s="69"/>
      <c r="I245" s="70"/>
      <c r="J245" s="70"/>
      <c r="K245" s="70"/>
      <c r="L245" s="70"/>
      <c r="M245" s="70"/>
      <c r="N245" s="70"/>
      <c r="O245" s="70"/>
      <c r="P245" s="70"/>
      <c r="Q245" s="71"/>
      <c r="R245" s="54"/>
      <c r="S245" s="68"/>
      <c r="T245" s="54"/>
      <c r="U245" s="71"/>
      <c r="V245" s="71"/>
      <c r="W245" s="71"/>
      <c r="X245" s="71"/>
      <c r="Y245" s="71"/>
      <c r="Z245" s="71"/>
      <c r="AA245" s="71"/>
      <c r="AB245" s="73"/>
      <c r="AC245" s="56"/>
      <c r="AD245" s="73"/>
      <c r="AE245" s="56"/>
      <c r="AF245" s="74"/>
      <c r="AG245" s="74"/>
      <c r="AH245" s="75"/>
      <c r="AI245" s="76"/>
      <c r="AJ245" s="76"/>
      <c r="AK245" s="93"/>
      <c r="AL245" s="93"/>
      <c r="AM245" s="93"/>
      <c r="AN245" s="93"/>
      <c r="AO245" s="93"/>
      <c r="AP245" s="93"/>
    </row>
    <row r="246" spans="1:42" ht="12.75" customHeight="1" x14ac:dyDescent="0.25">
      <c r="A246" s="93"/>
      <c r="B246" s="93"/>
      <c r="D246" s="93"/>
      <c r="E246" s="67"/>
      <c r="F246" s="58"/>
      <c r="G246" s="68"/>
      <c r="H246" s="69"/>
      <c r="I246" s="70"/>
      <c r="J246" s="70"/>
      <c r="K246" s="70"/>
      <c r="L246" s="70"/>
      <c r="M246" s="70"/>
      <c r="N246" s="70"/>
      <c r="O246" s="70"/>
      <c r="P246" s="70"/>
      <c r="Q246" s="71"/>
      <c r="R246" s="54"/>
      <c r="S246" s="68"/>
      <c r="T246" s="54"/>
      <c r="U246" s="71"/>
      <c r="V246" s="71"/>
      <c r="W246" s="71"/>
      <c r="X246" s="71"/>
      <c r="Y246" s="71"/>
      <c r="Z246" s="71"/>
      <c r="AA246" s="71"/>
      <c r="AB246" s="73"/>
      <c r="AC246" s="56"/>
      <c r="AD246" s="73"/>
      <c r="AE246" s="56"/>
      <c r="AF246" s="74"/>
      <c r="AG246" s="74"/>
      <c r="AH246" s="75"/>
      <c r="AI246" s="76"/>
      <c r="AJ246" s="76"/>
      <c r="AK246" s="93"/>
      <c r="AL246" s="93"/>
      <c r="AM246" s="93"/>
      <c r="AN246" s="93"/>
      <c r="AO246" s="93"/>
      <c r="AP246" s="93"/>
    </row>
    <row r="247" spans="1:42" ht="12.75" customHeight="1" x14ac:dyDescent="0.25">
      <c r="A247" s="93"/>
      <c r="B247" s="93"/>
      <c r="D247" s="93"/>
      <c r="E247" s="67"/>
      <c r="F247" s="58"/>
      <c r="G247" s="68"/>
      <c r="H247" s="69"/>
      <c r="I247" s="70"/>
      <c r="J247" s="70"/>
      <c r="K247" s="70"/>
      <c r="L247" s="70"/>
      <c r="M247" s="70"/>
      <c r="N247" s="70"/>
      <c r="O247" s="70"/>
      <c r="P247" s="70"/>
      <c r="Q247" s="71"/>
      <c r="R247" s="54"/>
      <c r="S247" s="68"/>
      <c r="T247" s="54"/>
      <c r="U247" s="71"/>
      <c r="V247" s="71"/>
      <c r="W247" s="71"/>
      <c r="X247" s="71"/>
      <c r="Y247" s="71"/>
      <c r="Z247" s="71"/>
      <c r="AA247" s="71"/>
      <c r="AB247" s="73"/>
      <c r="AC247" s="56"/>
      <c r="AD247" s="73"/>
      <c r="AE247" s="56"/>
      <c r="AF247" s="74"/>
      <c r="AG247" s="74"/>
      <c r="AH247" s="75"/>
      <c r="AI247" s="76"/>
      <c r="AJ247" s="76"/>
      <c r="AK247" s="93"/>
      <c r="AL247" s="93"/>
      <c r="AM247" s="93"/>
      <c r="AN247" s="93"/>
      <c r="AO247" s="93"/>
      <c r="AP247" s="93"/>
    </row>
    <row r="248" spans="1:42" ht="12.75" customHeight="1" x14ac:dyDescent="0.25">
      <c r="A248" s="93"/>
      <c r="B248" s="93"/>
      <c r="D248" s="93"/>
      <c r="E248" s="67"/>
      <c r="F248" s="58"/>
      <c r="G248" s="68"/>
      <c r="H248" s="69"/>
      <c r="I248" s="70"/>
      <c r="J248" s="70"/>
      <c r="K248" s="70"/>
      <c r="L248" s="70"/>
      <c r="M248" s="70"/>
      <c r="N248" s="70"/>
      <c r="O248" s="70"/>
      <c r="P248" s="70"/>
      <c r="Q248" s="71"/>
      <c r="R248" s="54"/>
      <c r="S248" s="68"/>
      <c r="T248" s="54"/>
      <c r="U248" s="71"/>
      <c r="V248" s="71"/>
      <c r="W248" s="71"/>
      <c r="X248" s="71"/>
      <c r="Y248" s="71"/>
      <c r="Z248" s="71"/>
      <c r="AA248" s="71"/>
      <c r="AB248" s="73"/>
      <c r="AC248" s="56"/>
      <c r="AD248" s="73"/>
      <c r="AE248" s="56"/>
      <c r="AF248" s="74"/>
      <c r="AG248" s="74"/>
      <c r="AH248" s="75"/>
      <c r="AI248" s="76"/>
      <c r="AJ248" s="76"/>
      <c r="AK248" s="93"/>
      <c r="AL248" s="93"/>
      <c r="AM248" s="93"/>
      <c r="AN248" s="93"/>
      <c r="AO248" s="93"/>
      <c r="AP248" s="93"/>
    </row>
    <row r="249" spans="1:42" ht="12.75" customHeight="1" x14ac:dyDescent="0.25">
      <c r="A249" s="93"/>
      <c r="B249" s="93"/>
      <c r="D249" s="93"/>
      <c r="E249" s="67"/>
      <c r="F249" s="58"/>
      <c r="G249" s="68"/>
      <c r="H249" s="69"/>
      <c r="I249" s="70"/>
      <c r="J249" s="70"/>
      <c r="K249" s="70"/>
      <c r="L249" s="70"/>
      <c r="M249" s="70"/>
      <c r="N249" s="70"/>
      <c r="O249" s="70"/>
      <c r="P249" s="70"/>
      <c r="Q249" s="71"/>
      <c r="R249" s="54"/>
      <c r="S249" s="68"/>
      <c r="T249" s="54"/>
      <c r="U249" s="71"/>
      <c r="V249" s="71"/>
      <c r="W249" s="71"/>
      <c r="X249" s="71"/>
      <c r="Y249" s="71"/>
      <c r="Z249" s="71"/>
      <c r="AA249" s="71"/>
      <c r="AB249" s="73"/>
      <c r="AC249" s="56"/>
      <c r="AD249" s="73"/>
      <c r="AE249" s="56"/>
      <c r="AF249" s="74"/>
      <c r="AG249" s="74"/>
      <c r="AH249" s="75"/>
      <c r="AI249" s="76"/>
      <c r="AJ249" s="76"/>
      <c r="AK249" s="93"/>
      <c r="AL249" s="93"/>
      <c r="AM249" s="93"/>
      <c r="AN249" s="93"/>
      <c r="AO249" s="93"/>
      <c r="AP249" s="93"/>
    </row>
    <row r="250" spans="1:42" ht="12.75" customHeight="1" x14ac:dyDescent="0.25">
      <c r="A250" s="93"/>
      <c r="B250" s="93"/>
      <c r="D250" s="93"/>
      <c r="E250" s="67"/>
      <c r="F250" s="58"/>
      <c r="G250" s="68"/>
      <c r="H250" s="69"/>
      <c r="I250" s="70"/>
      <c r="J250" s="70"/>
      <c r="K250" s="70"/>
      <c r="L250" s="70"/>
      <c r="M250" s="70"/>
      <c r="N250" s="70"/>
      <c r="O250" s="70"/>
      <c r="P250" s="70"/>
      <c r="Q250" s="71"/>
      <c r="R250" s="54"/>
      <c r="S250" s="68"/>
      <c r="T250" s="54"/>
      <c r="U250" s="71"/>
      <c r="V250" s="71"/>
      <c r="W250" s="71"/>
      <c r="X250" s="71"/>
      <c r="Y250" s="71"/>
      <c r="Z250" s="71"/>
      <c r="AA250" s="71"/>
      <c r="AB250" s="73"/>
      <c r="AC250" s="56"/>
      <c r="AD250" s="73"/>
      <c r="AE250" s="56"/>
      <c r="AF250" s="74"/>
      <c r="AG250" s="74"/>
      <c r="AH250" s="75"/>
      <c r="AI250" s="76"/>
      <c r="AJ250" s="76"/>
      <c r="AK250" s="93"/>
      <c r="AL250" s="93"/>
      <c r="AM250" s="93"/>
      <c r="AN250" s="93"/>
      <c r="AO250" s="93"/>
      <c r="AP250" s="93"/>
    </row>
    <row r="251" spans="1:42" ht="12.75" customHeight="1" x14ac:dyDescent="0.25">
      <c r="A251" s="93"/>
      <c r="B251" s="93"/>
      <c r="D251" s="93"/>
      <c r="E251" s="67"/>
      <c r="F251" s="58"/>
      <c r="G251" s="68"/>
      <c r="H251" s="69"/>
      <c r="I251" s="70"/>
      <c r="J251" s="70"/>
      <c r="K251" s="70"/>
      <c r="L251" s="70"/>
      <c r="M251" s="70"/>
      <c r="N251" s="70"/>
      <c r="O251" s="70"/>
      <c r="P251" s="70"/>
      <c r="Q251" s="71"/>
      <c r="R251" s="54"/>
      <c r="S251" s="68"/>
      <c r="T251" s="54"/>
      <c r="U251" s="71"/>
      <c r="V251" s="71"/>
      <c r="W251" s="71"/>
      <c r="X251" s="71"/>
      <c r="Y251" s="71"/>
      <c r="Z251" s="71"/>
      <c r="AA251" s="71"/>
      <c r="AB251" s="73"/>
      <c r="AC251" s="56"/>
      <c r="AD251" s="73"/>
      <c r="AE251" s="56"/>
      <c r="AF251" s="74"/>
      <c r="AG251" s="74"/>
      <c r="AH251" s="75"/>
      <c r="AI251" s="76"/>
      <c r="AJ251" s="76"/>
      <c r="AK251" s="93"/>
      <c r="AL251" s="93"/>
      <c r="AM251" s="93"/>
      <c r="AN251" s="93"/>
      <c r="AO251" s="93"/>
      <c r="AP251" s="93"/>
    </row>
    <row r="252" spans="1:42" ht="12.75" customHeight="1" x14ac:dyDescent="0.25">
      <c r="A252" s="65"/>
      <c r="B252" s="65"/>
      <c r="C252" s="66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</row>
    <row r="253" spans="1:42" ht="12.75" customHeight="1" x14ac:dyDescent="0.25">
      <c r="A253" s="65"/>
      <c r="B253" s="65"/>
      <c r="C253" s="66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  <c r="AM253" s="65"/>
      <c r="AN253" s="65"/>
      <c r="AO253" s="65"/>
      <c r="AP253" s="65"/>
    </row>
    <row r="254" spans="1:42" ht="12.75" customHeight="1" x14ac:dyDescent="0.25">
      <c r="A254" s="65"/>
      <c r="B254" s="65"/>
      <c r="C254" s="66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</row>
    <row r="255" spans="1:42" ht="12.75" customHeight="1" x14ac:dyDescent="0.25">
      <c r="A255" s="65"/>
      <c r="B255" s="65"/>
      <c r="C255" s="66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/>
      <c r="AJ255" s="65"/>
      <c r="AK255" s="65"/>
      <c r="AL255" s="65"/>
      <c r="AM255" s="65"/>
      <c r="AN255" s="65"/>
      <c r="AO255" s="65"/>
      <c r="AP255" s="65"/>
    </row>
    <row r="256" spans="1:42" ht="12.75" customHeight="1" x14ac:dyDescent="0.25">
      <c r="A256" s="65"/>
      <c r="B256" s="65"/>
      <c r="C256" s="66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</row>
    <row r="257" spans="1:42" ht="12.75" customHeight="1" x14ac:dyDescent="0.25">
      <c r="A257" s="65"/>
      <c r="B257" s="65"/>
      <c r="C257" s="66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</row>
    <row r="258" spans="1:42" ht="12.75" customHeight="1" x14ac:dyDescent="0.25">
      <c r="A258" s="65"/>
      <c r="B258" s="65"/>
      <c r="C258" s="66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</row>
    <row r="259" spans="1:42" ht="12.75" customHeight="1" x14ac:dyDescent="0.25">
      <c r="A259" s="65"/>
      <c r="B259" s="65"/>
      <c r="C259" s="66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</row>
    <row r="260" spans="1:42" ht="12.75" customHeight="1" x14ac:dyDescent="0.25">
      <c r="A260" s="65"/>
      <c r="B260" s="65"/>
      <c r="C260" s="66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</row>
    <row r="261" spans="1:42" ht="12.75" customHeight="1" x14ac:dyDescent="0.25">
      <c r="A261" s="65"/>
      <c r="B261" s="65"/>
      <c r="C261" s="66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  <c r="AJ261" s="65"/>
      <c r="AK261" s="65"/>
      <c r="AL261" s="65"/>
      <c r="AM261" s="65"/>
      <c r="AN261" s="65"/>
      <c r="AO261" s="65"/>
      <c r="AP261" s="65"/>
    </row>
    <row r="262" spans="1:42" ht="12.75" customHeight="1" x14ac:dyDescent="0.25">
      <c r="A262" s="65"/>
      <c r="B262" s="65"/>
      <c r="C262" s="66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</row>
    <row r="263" spans="1:42" ht="12.75" customHeight="1" x14ac:dyDescent="0.25">
      <c r="A263" s="65"/>
      <c r="B263" s="65"/>
      <c r="C263" s="66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  <c r="AM263" s="65"/>
      <c r="AN263" s="65"/>
      <c r="AO263" s="65"/>
      <c r="AP263" s="65"/>
    </row>
    <row r="264" spans="1:42" ht="12.75" customHeight="1" x14ac:dyDescent="0.25">
      <c r="A264" s="65"/>
      <c r="B264" s="65"/>
      <c r="C264" s="66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</row>
    <row r="265" spans="1:42" ht="12.75" customHeight="1" x14ac:dyDescent="0.25">
      <c r="A265" s="65"/>
      <c r="B265" s="65"/>
      <c r="C265" s="66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  <c r="AN265" s="65"/>
      <c r="AO265" s="65"/>
      <c r="AP265" s="65"/>
    </row>
    <row r="266" spans="1:42" ht="12.75" customHeight="1" x14ac:dyDescent="0.25">
      <c r="A266" s="65"/>
      <c r="B266" s="65"/>
      <c r="C266" s="66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</row>
    <row r="267" spans="1:42" ht="12.75" customHeight="1" x14ac:dyDescent="0.25">
      <c r="A267" s="65"/>
      <c r="B267" s="65"/>
      <c r="C267" s="66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  <c r="AN267" s="65"/>
      <c r="AO267" s="65"/>
      <c r="AP267" s="65"/>
    </row>
    <row r="268" spans="1:42" ht="12.75" customHeight="1" x14ac:dyDescent="0.25">
      <c r="A268" s="65"/>
      <c r="B268" s="65"/>
      <c r="C268" s="66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</row>
    <row r="269" spans="1:42" ht="12.75" customHeight="1" x14ac:dyDescent="0.25">
      <c r="A269" s="65"/>
      <c r="B269" s="65"/>
      <c r="C269" s="66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  <c r="AM269" s="65"/>
      <c r="AN269" s="65"/>
      <c r="AO269" s="65"/>
      <c r="AP269" s="65"/>
    </row>
    <row r="270" spans="1:42" ht="12.75" customHeight="1" x14ac:dyDescent="0.25">
      <c r="A270" s="65"/>
      <c r="B270" s="65"/>
      <c r="C270" s="66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</row>
    <row r="271" spans="1:42" ht="12.75" customHeight="1" x14ac:dyDescent="0.25">
      <c r="A271" s="65"/>
      <c r="B271" s="65"/>
      <c r="C271" s="66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5"/>
      <c r="AN271" s="65"/>
      <c r="AO271" s="65"/>
      <c r="AP271" s="65"/>
    </row>
    <row r="272" spans="1:42" ht="12.75" customHeight="1" x14ac:dyDescent="0.25">
      <c r="A272" s="65"/>
      <c r="B272" s="65"/>
      <c r="C272" s="66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</row>
    <row r="273" spans="1:42" ht="12.75" customHeight="1" x14ac:dyDescent="0.25">
      <c r="A273" s="65"/>
      <c r="B273" s="65"/>
      <c r="C273" s="66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  <c r="AK273" s="65"/>
      <c r="AL273" s="65"/>
      <c r="AM273" s="65"/>
      <c r="AN273" s="65"/>
      <c r="AO273" s="65"/>
      <c r="AP273" s="65"/>
    </row>
    <row r="274" spans="1:42" ht="12.75" customHeight="1" x14ac:dyDescent="0.25">
      <c r="A274" s="65"/>
      <c r="B274" s="65"/>
      <c r="C274" s="66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</row>
    <row r="275" spans="1:42" ht="12.75" customHeight="1" x14ac:dyDescent="0.25">
      <c r="A275" s="65"/>
      <c r="B275" s="65"/>
      <c r="C275" s="66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</row>
    <row r="276" spans="1:42" ht="12.75" customHeight="1" x14ac:dyDescent="0.25">
      <c r="A276" s="65"/>
      <c r="B276" s="65"/>
      <c r="C276" s="66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</row>
    <row r="277" spans="1:42" ht="12.75" customHeight="1" x14ac:dyDescent="0.25">
      <c r="A277" s="65"/>
      <c r="B277" s="65"/>
      <c r="C277" s="66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65"/>
      <c r="AJ277" s="65"/>
      <c r="AK277" s="65"/>
      <c r="AL277" s="65"/>
      <c r="AM277" s="65"/>
      <c r="AN277" s="65"/>
      <c r="AO277" s="65"/>
      <c r="AP277" s="65"/>
    </row>
    <row r="278" spans="1:42" ht="12.75" customHeight="1" x14ac:dyDescent="0.25">
      <c r="A278" s="65"/>
      <c r="B278" s="65"/>
      <c r="C278" s="66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  <c r="AP278" s="65"/>
    </row>
    <row r="279" spans="1:42" ht="12.75" customHeight="1" x14ac:dyDescent="0.25">
      <c r="A279" s="65"/>
      <c r="B279" s="65"/>
      <c r="C279" s="66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  <c r="AI279" s="65"/>
      <c r="AJ279" s="65"/>
      <c r="AK279" s="65"/>
      <c r="AL279" s="65"/>
      <c r="AM279" s="65"/>
      <c r="AN279" s="65"/>
      <c r="AO279" s="65"/>
      <c r="AP279" s="65"/>
    </row>
    <row r="280" spans="1:42" ht="12.75" customHeight="1" x14ac:dyDescent="0.25">
      <c r="A280" s="65"/>
      <c r="B280" s="65"/>
      <c r="C280" s="66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  <c r="AP280" s="65"/>
    </row>
    <row r="281" spans="1:42" ht="12.75" customHeight="1" x14ac:dyDescent="0.25">
      <c r="A281" s="65"/>
      <c r="B281" s="65"/>
      <c r="C281" s="66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65"/>
      <c r="AG281" s="65"/>
      <c r="AH281" s="65"/>
      <c r="AI281" s="65"/>
      <c r="AJ281" s="65"/>
      <c r="AK281" s="65"/>
      <c r="AL281" s="65"/>
      <c r="AM281" s="65"/>
      <c r="AN281" s="65"/>
      <c r="AO281" s="65"/>
      <c r="AP281" s="65"/>
    </row>
    <row r="282" spans="1:42" ht="12.75" customHeight="1" x14ac:dyDescent="0.25">
      <c r="A282" s="65"/>
      <c r="B282" s="65"/>
      <c r="C282" s="66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  <c r="AP282" s="65"/>
    </row>
    <row r="283" spans="1:42" ht="12.75" customHeight="1" x14ac:dyDescent="0.25">
      <c r="A283" s="65"/>
      <c r="B283" s="65"/>
      <c r="C283" s="66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  <c r="AI283" s="65"/>
      <c r="AJ283" s="65"/>
      <c r="AK283" s="65"/>
      <c r="AL283" s="65"/>
      <c r="AM283" s="65"/>
      <c r="AN283" s="65"/>
      <c r="AO283" s="65"/>
      <c r="AP283" s="65"/>
    </row>
    <row r="284" spans="1:42" ht="12.75" customHeight="1" x14ac:dyDescent="0.25">
      <c r="A284" s="65"/>
      <c r="B284" s="65"/>
      <c r="C284" s="66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  <c r="AP284" s="65"/>
    </row>
    <row r="285" spans="1:42" ht="12.75" customHeight="1" x14ac:dyDescent="0.25">
      <c r="A285" s="65"/>
      <c r="B285" s="65"/>
      <c r="C285" s="66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65"/>
      <c r="AJ285" s="65"/>
      <c r="AK285" s="65"/>
      <c r="AL285" s="65"/>
      <c r="AM285" s="65"/>
      <c r="AN285" s="65"/>
      <c r="AO285" s="65"/>
      <c r="AP285" s="65"/>
    </row>
    <row r="286" spans="1:42" ht="12.75" customHeight="1" x14ac:dyDescent="0.25">
      <c r="A286" s="65"/>
      <c r="B286" s="65"/>
      <c r="C286" s="66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  <c r="AP286" s="65"/>
    </row>
    <row r="287" spans="1:42" ht="12.75" customHeight="1" x14ac:dyDescent="0.25">
      <c r="A287" s="65"/>
      <c r="B287" s="65"/>
      <c r="C287" s="66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5"/>
      <c r="AJ287" s="65"/>
      <c r="AK287" s="65"/>
      <c r="AL287" s="65"/>
      <c r="AM287" s="65"/>
      <c r="AN287" s="65"/>
      <c r="AO287" s="65"/>
      <c r="AP287" s="65"/>
    </row>
    <row r="288" spans="1:42" ht="12.75" customHeight="1" x14ac:dyDescent="0.25">
      <c r="A288" s="65"/>
      <c r="B288" s="65"/>
      <c r="C288" s="66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  <c r="AP288" s="65"/>
    </row>
    <row r="289" spans="1:42" ht="12.75" customHeight="1" x14ac:dyDescent="0.25">
      <c r="A289" s="65"/>
      <c r="B289" s="65"/>
      <c r="C289" s="66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  <c r="AE289" s="65"/>
      <c r="AF289" s="65"/>
      <c r="AG289" s="65"/>
      <c r="AH289" s="65"/>
      <c r="AI289" s="65"/>
      <c r="AJ289" s="65"/>
      <c r="AK289" s="65"/>
      <c r="AL289" s="65"/>
      <c r="AM289" s="65"/>
      <c r="AN289" s="65"/>
      <c r="AO289" s="65"/>
      <c r="AP289" s="65"/>
    </row>
    <row r="290" spans="1:42" ht="12.75" customHeight="1" x14ac:dyDescent="0.25">
      <c r="A290" s="65"/>
      <c r="B290" s="65"/>
      <c r="C290" s="66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  <c r="AP290" s="65"/>
    </row>
    <row r="291" spans="1:42" ht="12.75" customHeight="1" x14ac:dyDescent="0.25">
      <c r="A291" s="65"/>
      <c r="B291" s="65"/>
      <c r="C291" s="66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65"/>
      <c r="AJ291" s="65"/>
      <c r="AK291" s="65"/>
      <c r="AL291" s="65"/>
      <c r="AM291" s="65"/>
      <c r="AN291" s="65"/>
      <c r="AO291" s="65"/>
      <c r="AP291" s="65"/>
    </row>
    <row r="292" spans="1:42" ht="12.75" customHeight="1" x14ac:dyDescent="0.25">
      <c r="A292" s="65"/>
      <c r="B292" s="65"/>
      <c r="C292" s="66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  <c r="AP292" s="65"/>
    </row>
    <row r="293" spans="1:42" ht="12.75" customHeight="1" x14ac:dyDescent="0.25">
      <c r="A293" s="65"/>
      <c r="B293" s="65"/>
      <c r="C293" s="66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  <c r="AK293" s="65"/>
      <c r="AL293" s="65"/>
      <c r="AM293" s="65"/>
      <c r="AN293" s="65"/>
      <c r="AO293" s="65"/>
      <c r="AP293" s="65"/>
    </row>
    <row r="294" spans="1:42" ht="12.75" customHeight="1" x14ac:dyDescent="0.25">
      <c r="A294" s="65"/>
      <c r="B294" s="65"/>
      <c r="C294" s="66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  <c r="AP294" s="65"/>
    </row>
    <row r="295" spans="1:42" ht="12.75" customHeight="1" x14ac:dyDescent="0.25">
      <c r="A295" s="65"/>
      <c r="B295" s="65"/>
      <c r="C295" s="66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  <c r="AI295" s="65"/>
      <c r="AJ295" s="65"/>
      <c r="AK295" s="65"/>
      <c r="AL295" s="65"/>
      <c r="AM295" s="65"/>
      <c r="AN295" s="65"/>
      <c r="AO295" s="65"/>
      <c r="AP295" s="65"/>
    </row>
    <row r="296" spans="1:42" ht="12.75" customHeight="1" x14ac:dyDescent="0.25">
      <c r="A296" s="65"/>
      <c r="B296" s="65"/>
      <c r="C296" s="66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  <c r="AP296" s="65"/>
    </row>
    <row r="297" spans="1:42" ht="12.75" customHeight="1" x14ac:dyDescent="0.25">
      <c r="A297" s="65"/>
      <c r="B297" s="65"/>
      <c r="C297" s="66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5"/>
      <c r="AJ297" s="65"/>
      <c r="AK297" s="65"/>
      <c r="AL297" s="65"/>
      <c r="AM297" s="65"/>
      <c r="AN297" s="65"/>
      <c r="AO297" s="65"/>
      <c r="AP297" s="65"/>
    </row>
    <row r="298" spans="1:42" ht="12.75" customHeight="1" x14ac:dyDescent="0.25">
      <c r="A298" s="65"/>
      <c r="B298" s="65"/>
      <c r="C298" s="66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  <c r="AP298" s="65"/>
    </row>
    <row r="299" spans="1:42" ht="12.75" customHeight="1" x14ac:dyDescent="0.25">
      <c r="A299" s="65"/>
      <c r="B299" s="65"/>
      <c r="C299" s="66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65"/>
      <c r="AJ299" s="65"/>
      <c r="AK299" s="65"/>
      <c r="AL299" s="65"/>
      <c r="AM299" s="65"/>
      <c r="AN299" s="65"/>
      <c r="AO299" s="65"/>
      <c r="AP299" s="65"/>
    </row>
    <row r="300" spans="1:42" ht="12.75" customHeight="1" x14ac:dyDescent="0.25">
      <c r="A300" s="65"/>
      <c r="B300" s="65"/>
      <c r="C300" s="66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  <c r="AP300" s="65"/>
    </row>
    <row r="301" spans="1:42" ht="12.75" customHeight="1" x14ac:dyDescent="0.25">
      <c r="A301" s="65"/>
      <c r="B301" s="65"/>
      <c r="C301" s="66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  <c r="AE301" s="65"/>
      <c r="AF301" s="65"/>
      <c r="AG301" s="65"/>
      <c r="AH301" s="65"/>
      <c r="AI301" s="65"/>
      <c r="AJ301" s="65"/>
      <c r="AK301" s="65"/>
      <c r="AL301" s="65"/>
      <c r="AM301" s="65"/>
      <c r="AN301" s="65"/>
      <c r="AO301" s="65"/>
      <c r="AP301" s="65"/>
    </row>
    <row r="302" spans="1:42" ht="12.75" customHeight="1" x14ac:dyDescent="0.25">
      <c r="A302" s="65"/>
      <c r="B302" s="65"/>
      <c r="C302" s="66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  <c r="AP302" s="65"/>
    </row>
    <row r="303" spans="1:42" ht="12.75" customHeight="1" x14ac:dyDescent="0.25">
      <c r="A303" s="65"/>
      <c r="B303" s="65"/>
      <c r="C303" s="66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  <c r="AE303" s="65"/>
      <c r="AF303" s="65"/>
      <c r="AG303" s="65"/>
      <c r="AH303" s="65"/>
      <c r="AI303" s="65"/>
      <c r="AJ303" s="65"/>
      <c r="AK303" s="65"/>
      <c r="AL303" s="65"/>
      <c r="AM303" s="65"/>
      <c r="AN303" s="65"/>
      <c r="AO303" s="65"/>
      <c r="AP303" s="65"/>
    </row>
    <row r="304" spans="1:42" ht="12.75" customHeight="1" x14ac:dyDescent="0.25">
      <c r="A304" s="65"/>
      <c r="B304" s="65"/>
      <c r="C304" s="66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  <c r="AP304" s="65"/>
    </row>
    <row r="305" spans="1:42" ht="12.75" customHeight="1" x14ac:dyDescent="0.25">
      <c r="A305" s="65"/>
      <c r="B305" s="65"/>
      <c r="C305" s="66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65"/>
      <c r="AF305" s="65"/>
      <c r="AG305" s="65"/>
      <c r="AH305" s="65"/>
      <c r="AI305" s="65"/>
      <c r="AJ305" s="65"/>
      <c r="AK305" s="65"/>
      <c r="AL305" s="65"/>
      <c r="AM305" s="65"/>
      <c r="AN305" s="65"/>
      <c r="AO305" s="65"/>
      <c r="AP305" s="65"/>
    </row>
    <row r="306" spans="1:42" ht="12.75" customHeight="1" x14ac:dyDescent="0.25">
      <c r="A306" s="65"/>
      <c r="B306" s="65"/>
      <c r="C306" s="66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  <c r="AP306" s="65"/>
    </row>
    <row r="307" spans="1:42" ht="12.75" customHeight="1" x14ac:dyDescent="0.25">
      <c r="A307" s="65"/>
      <c r="B307" s="65"/>
      <c r="C307" s="66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65"/>
      <c r="AJ307" s="65"/>
      <c r="AK307" s="65"/>
      <c r="AL307" s="65"/>
      <c r="AM307" s="65"/>
      <c r="AN307" s="65"/>
      <c r="AO307" s="65"/>
      <c r="AP307" s="65"/>
    </row>
    <row r="308" spans="1:42" ht="12.75" customHeight="1" x14ac:dyDescent="0.25">
      <c r="A308" s="65"/>
      <c r="B308" s="65"/>
      <c r="C308" s="66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  <c r="AP308" s="65"/>
    </row>
    <row r="309" spans="1:42" ht="12.75" customHeight="1" x14ac:dyDescent="0.25">
      <c r="A309" s="65"/>
      <c r="B309" s="65"/>
      <c r="C309" s="66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5"/>
      <c r="AJ309" s="65"/>
      <c r="AK309" s="65"/>
      <c r="AL309" s="65"/>
      <c r="AM309" s="65"/>
      <c r="AN309" s="65"/>
      <c r="AO309" s="65"/>
      <c r="AP309" s="65"/>
    </row>
    <row r="310" spans="1:42" ht="12.75" customHeight="1" x14ac:dyDescent="0.25">
      <c r="A310" s="65"/>
      <c r="B310" s="65"/>
      <c r="C310" s="66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  <c r="AP310" s="65"/>
    </row>
    <row r="311" spans="1:42" ht="12.75" customHeight="1" x14ac:dyDescent="0.25">
      <c r="A311" s="65"/>
      <c r="B311" s="65"/>
      <c r="C311" s="66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65"/>
      <c r="AJ311" s="65"/>
      <c r="AK311" s="65"/>
      <c r="AL311" s="65"/>
      <c r="AM311" s="65"/>
      <c r="AN311" s="65"/>
      <c r="AO311" s="65"/>
      <c r="AP311" s="65"/>
    </row>
    <row r="312" spans="1:42" ht="12.75" customHeight="1" x14ac:dyDescent="0.25">
      <c r="A312" s="65"/>
      <c r="B312" s="65"/>
      <c r="C312" s="66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  <c r="AP312" s="65"/>
    </row>
    <row r="313" spans="1:42" ht="12.75" customHeight="1" x14ac:dyDescent="0.25">
      <c r="A313" s="65"/>
      <c r="B313" s="65"/>
      <c r="C313" s="66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65"/>
      <c r="AJ313" s="65"/>
      <c r="AK313" s="65"/>
      <c r="AL313" s="65"/>
      <c r="AM313" s="65"/>
      <c r="AN313" s="65"/>
      <c r="AO313" s="65"/>
      <c r="AP313" s="65"/>
    </row>
    <row r="314" spans="1:42" ht="12.75" customHeight="1" x14ac:dyDescent="0.25">
      <c r="A314" s="65"/>
      <c r="B314" s="65"/>
      <c r="C314" s="66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  <c r="AP314" s="65"/>
    </row>
    <row r="315" spans="1:42" ht="12.75" customHeight="1" x14ac:dyDescent="0.25">
      <c r="A315" s="65"/>
      <c r="B315" s="65"/>
      <c r="C315" s="66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  <c r="AL315" s="65"/>
      <c r="AM315" s="65"/>
      <c r="AN315" s="65"/>
      <c r="AO315" s="65"/>
      <c r="AP315" s="65"/>
    </row>
    <row r="316" spans="1:42" ht="12.75" customHeight="1" x14ac:dyDescent="0.25">
      <c r="A316" s="65"/>
      <c r="B316" s="65"/>
      <c r="C316" s="66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  <c r="AP316" s="65"/>
    </row>
    <row r="317" spans="1:42" ht="12.75" customHeight="1" x14ac:dyDescent="0.25">
      <c r="A317" s="65"/>
      <c r="B317" s="65"/>
      <c r="C317" s="66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65"/>
      <c r="AL317" s="65"/>
      <c r="AM317" s="65"/>
      <c r="AN317" s="65"/>
      <c r="AO317" s="65"/>
      <c r="AP317" s="65"/>
    </row>
    <row r="318" spans="1:42" ht="12.75" customHeight="1" x14ac:dyDescent="0.25">
      <c r="A318" s="65"/>
      <c r="B318" s="65"/>
      <c r="C318" s="66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  <c r="AP318" s="65"/>
    </row>
    <row r="319" spans="1:42" ht="12.75" customHeight="1" x14ac:dyDescent="0.25">
      <c r="A319" s="65"/>
      <c r="B319" s="65"/>
      <c r="C319" s="66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65"/>
      <c r="AJ319" s="65"/>
      <c r="AK319" s="65"/>
      <c r="AL319" s="65"/>
      <c r="AM319" s="65"/>
      <c r="AN319" s="65"/>
      <c r="AO319" s="65"/>
      <c r="AP319" s="65"/>
    </row>
    <row r="320" spans="1:42" ht="12.75" customHeight="1" x14ac:dyDescent="0.25">
      <c r="A320" s="65"/>
      <c r="B320" s="65"/>
      <c r="C320" s="66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  <c r="AP320" s="65"/>
    </row>
    <row r="321" spans="1:42" ht="12.75" customHeight="1" x14ac:dyDescent="0.25">
      <c r="A321" s="65"/>
      <c r="B321" s="65"/>
      <c r="C321" s="66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65"/>
      <c r="AF321" s="65"/>
      <c r="AG321" s="65"/>
      <c r="AH321" s="65"/>
      <c r="AI321" s="65"/>
      <c r="AJ321" s="65"/>
      <c r="AK321" s="65"/>
      <c r="AL321" s="65"/>
      <c r="AM321" s="65"/>
      <c r="AN321" s="65"/>
      <c r="AO321" s="65"/>
      <c r="AP321" s="65"/>
    </row>
    <row r="322" spans="1:42" ht="12.75" customHeight="1" x14ac:dyDescent="0.25">
      <c r="A322" s="65"/>
      <c r="B322" s="65"/>
      <c r="C322" s="66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  <c r="AP322" s="65"/>
    </row>
    <row r="323" spans="1:42" ht="12.75" customHeight="1" x14ac:dyDescent="0.25">
      <c r="A323" s="65"/>
      <c r="B323" s="65"/>
      <c r="C323" s="66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65"/>
      <c r="AJ323" s="65"/>
      <c r="AK323" s="65"/>
      <c r="AL323" s="65"/>
      <c r="AM323" s="65"/>
      <c r="AN323" s="65"/>
      <c r="AO323" s="65"/>
      <c r="AP323" s="65"/>
    </row>
    <row r="324" spans="1:42" ht="12.75" customHeight="1" x14ac:dyDescent="0.25">
      <c r="A324" s="65"/>
      <c r="B324" s="65"/>
      <c r="C324" s="66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  <c r="AP324" s="65"/>
    </row>
    <row r="325" spans="1:42" ht="12.75" customHeight="1" x14ac:dyDescent="0.25">
      <c r="A325" s="65"/>
      <c r="B325" s="65"/>
      <c r="C325" s="66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  <c r="AE325" s="65"/>
      <c r="AF325" s="65"/>
      <c r="AG325" s="65"/>
      <c r="AH325" s="65"/>
      <c r="AI325" s="65"/>
      <c r="AJ325" s="65"/>
      <c r="AK325" s="65"/>
      <c r="AL325" s="65"/>
      <c r="AM325" s="65"/>
      <c r="AN325" s="65"/>
      <c r="AO325" s="65"/>
      <c r="AP325" s="65"/>
    </row>
    <row r="326" spans="1:42" ht="12.75" customHeight="1" x14ac:dyDescent="0.25">
      <c r="A326" s="65"/>
      <c r="B326" s="65"/>
      <c r="C326" s="66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  <c r="AP326" s="65"/>
    </row>
    <row r="327" spans="1:42" ht="12.75" customHeight="1" x14ac:dyDescent="0.25">
      <c r="A327" s="65"/>
      <c r="B327" s="65"/>
      <c r="C327" s="66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65"/>
      <c r="AJ327" s="65"/>
      <c r="AK327" s="65"/>
      <c r="AL327" s="65"/>
      <c r="AM327" s="65"/>
      <c r="AN327" s="65"/>
      <c r="AO327" s="65"/>
      <c r="AP327" s="65"/>
    </row>
    <row r="328" spans="1:42" ht="12.75" customHeight="1" x14ac:dyDescent="0.25">
      <c r="A328" s="65"/>
      <c r="B328" s="65"/>
      <c r="C328" s="66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  <c r="AP328" s="65"/>
    </row>
    <row r="329" spans="1:42" ht="12.75" customHeight="1" x14ac:dyDescent="0.25">
      <c r="A329" s="65"/>
      <c r="B329" s="65"/>
      <c r="C329" s="66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  <c r="AF329" s="65"/>
      <c r="AG329" s="65"/>
      <c r="AH329" s="65"/>
      <c r="AI329" s="65"/>
      <c r="AJ329" s="65"/>
      <c r="AK329" s="65"/>
      <c r="AL329" s="65"/>
      <c r="AM329" s="65"/>
      <c r="AN329" s="65"/>
      <c r="AO329" s="65"/>
      <c r="AP329" s="65"/>
    </row>
    <row r="330" spans="1:42" ht="12.75" customHeight="1" x14ac:dyDescent="0.25">
      <c r="A330" s="65"/>
      <c r="B330" s="65"/>
      <c r="C330" s="66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  <c r="AP330" s="65"/>
    </row>
    <row r="331" spans="1:42" ht="12.75" customHeight="1" x14ac:dyDescent="0.25">
      <c r="A331" s="65"/>
      <c r="B331" s="65"/>
      <c r="C331" s="66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  <c r="AF331" s="65"/>
      <c r="AG331" s="65"/>
      <c r="AH331" s="65"/>
      <c r="AI331" s="65"/>
      <c r="AJ331" s="65"/>
      <c r="AK331" s="65"/>
      <c r="AL331" s="65"/>
      <c r="AM331" s="65"/>
      <c r="AN331" s="65"/>
      <c r="AO331" s="65"/>
      <c r="AP331" s="65"/>
    </row>
    <row r="332" spans="1:42" ht="12.75" customHeight="1" x14ac:dyDescent="0.25">
      <c r="A332" s="65"/>
      <c r="B332" s="65"/>
      <c r="C332" s="66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  <c r="AP332" s="65"/>
    </row>
    <row r="333" spans="1:42" ht="12.75" customHeight="1" x14ac:dyDescent="0.25">
      <c r="A333" s="65"/>
      <c r="B333" s="65"/>
      <c r="C333" s="66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65"/>
      <c r="AF333" s="65"/>
      <c r="AG333" s="65"/>
      <c r="AH333" s="65"/>
      <c r="AI333" s="65"/>
      <c r="AJ333" s="65"/>
      <c r="AK333" s="65"/>
      <c r="AL333" s="65"/>
      <c r="AM333" s="65"/>
      <c r="AN333" s="65"/>
      <c r="AO333" s="65"/>
      <c r="AP333" s="65"/>
    </row>
    <row r="334" spans="1:42" ht="12.75" customHeight="1" x14ac:dyDescent="0.25">
      <c r="A334" s="65"/>
      <c r="B334" s="65"/>
      <c r="C334" s="66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  <c r="AP334" s="65"/>
    </row>
    <row r="335" spans="1:42" ht="12.75" customHeight="1" x14ac:dyDescent="0.25">
      <c r="A335" s="65"/>
      <c r="B335" s="65"/>
      <c r="C335" s="66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  <c r="AE335" s="65"/>
      <c r="AF335" s="65"/>
      <c r="AG335" s="65"/>
      <c r="AH335" s="65"/>
      <c r="AI335" s="65"/>
      <c r="AJ335" s="65"/>
      <c r="AK335" s="65"/>
      <c r="AL335" s="65"/>
      <c r="AM335" s="65"/>
      <c r="AN335" s="65"/>
      <c r="AO335" s="65"/>
      <c r="AP335" s="65"/>
    </row>
    <row r="336" spans="1:42" ht="12.75" customHeight="1" x14ac:dyDescent="0.25">
      <c r="A336" s="65"/>
      <c r="B336" s="65"/>
      <c r="C336" s="66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  <c r="AP336" s="65"/>
    </row>
    <row r="337" spans="1:42" ht="12.75" customHeight="1" x14ac:dyDescent="0.25">
      <c r="A337" s="65"/>
      <c r="B337" s="65"/>
      <c r="C337" s="66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65"/>
      <c r="AF337" s="65"/>
      <c r="AG337" s="65"/>
      <c r="AH337" s="65"/>
      <c r="AI337" s="65"/>
      <c r="AJ337" s="65"/>
      <c r="AK337" s="65"/>
      <c r="AL337" s="65"/>
      <c r="AM337" s="65"/>
      <c r="AN337" s="65"/>
      <c r="AO337" s="65"/>
      <c r="AP337" s="65"/>
    </row>
    <row r="338" spans="1:42" ht="12.75" customHeight="1" x14ac:dyDescent="0.25">
      <c r="A338" s="65"/>
      <c r="B338" s="65"/>
      <c r="C338" s="66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  <c r="AP338" s="65"/>
    </row>
    <row r="339" spans="1:42" ht="12.75" customHeight="1" x14ac:dyDescent="0.25">
      <c r="A339" s="65"/>
      <c r="B339" s="65"/>
      <c r="C339" s="66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  <c r="AE339" s="65"/>
      <c r="AF339" s="65"/>
      <c r="AG339" s="65"/>
      <c r="AH339" s="65"/>
      <c r="AI339" s="65"/>
      <c r="AJ339" s="65"/>
      <c r="AK339" s="65"/>
      <c r="AL339" s="65"/>
      <c r="AM339" s="65"/>
      <c r="AN339" s="65"/>
      <c r="AO339" s="65"/>
      <c r="AP339" s="65"/>
    </row>
    <row r="340" spans="1:42" ht="12.75" customHeight="1" x14ac:dyDescent="0.25">
      <c r="A340" s="65"/>
      <c r="B340" s="65"/>
      <c r="C340" s="66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  <c r="AP340" s="65"/>
    </row>
    <row r="341" spans="1:42" ht="12.75" customHeight="1" x14ac:dyDescent="0.25">
      <c r="A341" s="65"/>
      <c r="B341" s="65"/>
      <c r="C341" s="66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  <c r="AE341" s="65"/>
      <c r="AF341" s="65"/>
      <c r="AG341" s="65"/>
      <c r="AH341" s="65"/>
      <c r="AI341" s="65"/>
      <c r="AJ341" s="65"/>
      <c r="AK341" s="65"/>
      <c r="AL341" s="65"/>
      <c r="AM341" s="65"/>
      <c r="AN341" s="65"/>
      <c r="AO341" s="65"/>
      <c r="AP341" s="65"/>
    </row>
    <row r="342" spans="1:42" ht="12.75" customHeight="1" x14ac:dyDescent="0.25">
      <c r="A342" s="65"/>
      <c r="B342" s="65"/>
      <c r="C342" s="66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  <c r="AN342" s="65"/>
      <c r="AO342" s="65"/>
      <c r="AP342" s="65"/>
    </row>
    <row r="343" spans="1:42" ht="12.75" customHeight="1" x14ac:dyDescent="0.25">
      <c r="A343" s="65"/>
      <c r="B343" s="65"/>
      <c r="C343" s="66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  <c r="AJ343" s="65"/>
      <c r="AK343" s="65"/>
      <c r="AL343" s="65"/>
      <c r="AM343" s="65"/>
      <c r="AN343" s="65"/>
      <c r="AO343" s="65"/>
      <c r="AP343" s="65"/>
    </row>
    <row r="344" spans="1:42" ht="12.75" customHeight="1" x14ac:dyDescent="0.25">
      <c r="A344" s="65"/>
      <c r="B344" s="65"/>
      <c r="C344" s="66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  <c r="AP344" s="65"/>
    </row>
    <row r="345" spans="1:42" ht="12.75" customHeight="1" x14ac:dyDescent="0.25">
      <c r="A345" s="65"/>
      <c r="B345" s="65"/>
      <c r="C345" s="66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65"/>
      <c r="AJ345" s="65"/>
      <c r="AK345" s="65"/>
      <c r="AL345" s="65"/>
      <c r="AM345" s="65"/>
      <c r="AN345" s="65"/>
      <c r="AO345" s="65"/>
      <c r="AP345" s="65"/>
    </row>
    <row r="346" spans="1:42" ht="12.75" customHeight="1" x14ac:dyDescent="0.25">
      <c r="A346" s="65"/>
      <c r="B346" s="65"/>
      <c r="C346" s="66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  <c r="AP346" s="65"/>
    </row>
    <row r="347" spans="1:42" ht="12.75" customHeight="1" x14ac:dyDescent="0.25">
      <c r="A347" s="65"/>
      <c r="B347" s="65"/>
      <c r="C347" s="66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  <c r="AE347" s="65"/>
      <c r="AF347" s="65"/>
      <c r="AG347" s="65"/>
      <c r="AH347" s="65"/>
      <c r="AI347" s="65"/>
      <c r="AJ347" s="65"/>
      <c r="AK347" s="65"/>
      <c r="AL347" s="65"/>
      <c r="AM347" s="65"/>
      <c r="AN347" s="65"/>
      <c r="AO347" s="65"/>
      <c r="AP347" s="65"/>
    </row>
    <row r="348" spans="1:42" ht="12.75" customHeight="1" x14ac:dyDescent="0.25">
      <c r="A348" s="65"/>
      <c r="B348" s="65"/>
      <c r="C348" s="66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  <c r="AP348" s="65"/>
    </row>
    <row r="349" spans="1:42" ht="12.75" customHeight="1" x14ac:dyDescent="0.25">
      <c r="A349" s="65"/>
      <c r="B349" s="65"/>
      <c r="C349" s="66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  <c r="AE349" s="65"/>
      <c r="AF349" s="65"/>
      <c r="AG349" s="65"/>
      <c r="AH349" s="65"/>
      <c r="AI349" s="65"/>
      <c r="AJ349" s="65"/>
      <c r="AK349" s="65"/>
      <c r="AL349" s="65"/>
      <c r="AM349" s="65"/>
      <c r="AN349" s="65"/>
      <c r="AO349" s="65"/>
      <c r="AP349" s="65"/>
    </row>
    <row r="350" spans="1:42" ht="12.75" customHeight="1" x14ac:dyDescent="0.25">
      <c r="A350" s="65"/>
      <c r="B350" s="65"/>
      <c r="C350" s="66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  <c r="AP350" s="65"/>
    </row>
    <row r="351" spans="1:42" ht="12.75" customHeight="1" x14ac:dyDescent="0.25">
      <c r="A351" s="65"/>
      <c r="B351" s="65"/>
      <c r="C351" s="66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  <c r="AE351" s="65"/>
      <c r="AF351" s="65"/>
      <c r="AG351" s="65"/>
      <c r="AH351" s="65"/>
      <c r="AI351" s="65"/>
      <c r="AJ351" s="65"/>
      <c r="AK351" s="65"/>
      <c r="AL351" s="65"/>
      <c r="AM351" s="65"/>
      <c r="AN351" s="65"/>
      <c r="AO351" s="65"/>
      <c r="AP351" s="65"/>
    </row>
    <row r="352" spans="1:42" ht="12.75" customHeight="1" x14ac:dyDescent="0.25">
      <c r="A352" s="65"/>
      <c r="B352" s="65"/>
      <c r="C352" s="66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</row>
    <row r="353" spans="1:42" ht="12.75" customHeight="1" x14ac:dyDescent="0.25">
      <c r="A353" s="65"/>
      <c r="B353" s="65"/>
      <c r="C353" s="66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  <c r="AE353" s="65"/>
      <c r="AF353" s="65"/>
      <c r="AG353" s="65"/>
      <c r="AH353" s="65"/>
      <c r="AI353" s="65"/>
      <c r="AJ353" s="65"/>
      <c r="AK353" s="65"/>
      <c r="AL353" s="65"/>
      <c r="AM353" s="65"/>
      <c r="AN353" s="65"/>
      <c r="AO353" s="65"/>
      <c r="AP353" s="65"/>
    </row>
    <row r="354" spans="1:42" ht="12.75" customHeight="1" x14ac:dyDescent="0.25">
      <c r="A354" s="65"/>
      <c r="B354" s="65"/>
      <c r="C354" s="66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  <c r="AP354" s="65"/>
    </row>
    <row r="355" spans="1:42" ht="12.75" customHeight="1" x14ac:dyDescent="0.25">
      <c r="A355" s="65"/>
      <c r="B355" s="65"/>
      <c r="C355" s="66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  <c r="AE355" s="65"/>
      <c r="AF355" s="65"/>
      <c r="AG355" s="65"/>
      <c r="AH355" s="65"/>
      <c r="AI355" s="65"/>
      <c r="AJ355" s="65"/>
      <c r="AK355" s="65"/>
      <c r="AL355" s="65"/>
      <c r="AM355" s="65"/>
      <c r="AN355" s="65"/>
      <c r="AO355" s="65"/>
      <c r="AP355" s="65"/>
    </row>
    <row r="356" spans="1:42" ht="12.75" customHeight="1" x14ac:dyDescent="0.25">
      <c r="A356" s="65"/>
      <c r="B356" s="65"/>
      <c r="C356" s="66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  <c r="AL356" s="65"/>
      <c r="AM356" s="65"/>
      <c r="AN356" s="65"/>
      <c r="AO356" s="65"/>
      <c r="AP356" s="65"/>
    </row>
    <row r="357" spans="1:42" ht="12.75" customHeight="1" x14ac:dyDescent="0.25">
      <c r="A357" s="65"/>
      <c r="B357" s="65"/>
      <c r="C357" s="66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  <c r="AE357" s="65"/>
      <c r="AF357" s="65"/>
      <c r="AG357" s="65"/>
      <c r="AH357" s="65"/>
      <c r="AI357" s="65"/>
      <c r="AJ357" s="65"/>
      <c r="AK357" s="65"/>
      <c r="AL357" s="65"/>
      <c r="AM357" s="65"/>
      <c r="AN357" s="65"/>
      <c r="AO357" s="65"/>
      <c r="AP357" s="65"/>
    </row>
    <row r="358" spans="1:42" ht="12.75" customHeight="1" x14ac:dyDescent="0.25">
      <c r="A358" s="65"/>
      <c r="B358" s="65"/>
      <c r="C358" s="66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  <c r="AP358" s="65"/>
    </row>
    <row r="359" spans="1:42" ht="12.75" customHeight="1" x14ac:dyDescent="0.25">
      <c r="A359" s="65"/>
      <c r="B359" s="65"/>
      <c r="C359" s="66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  <c r="AE359" s="65"/>
      <c r="AF359" s="65"/>
      <c r="AG359" s="65"/>
      <c r="AH359" s="65"/>
      <c r="AI359" s="65"/>
      <c r="AJ359" s="65"/>
      <c r="AK359" s="65"/>
      <c r="AL359" s="65"/>
      <c r="AM359" s="65"/>
      <c r="AN359" s="65"/>
      <c r="AO359" s="65"/>
      <c r="AP359" s="65"/>
    </row>
    <row r="360" spans="1:42" ht="12.75" customHeight="1" x14ac:dyDescent="0.25">
      <c r="A360" s="65"/>
      <c r="B360" s="65"/>
      <c r="C360" s="66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  <c r="AP360" s="65"/>
    </row>
    <row r="361" spans="1:42" ht="12.75" customHeight="1" x14ac:dyDescent="0.25">
      <c r="A361" s="65"/>
      <c r="B361" s="65"/>
      <c r="C361" s="66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  <c r="AE361" s="65"/>
      <c r="AF361" s="65"/>
      <c r="AG361" s="65"/>
      <c r="AH361" s="65"/>
      <c r="AI361" s="65"/>
      <c r="AJ361" s="65"/>
      <c r="AK361" s="65"/>
      <c r="AL361" s="65"/>
      <c r="AM361" s="65"/>
      <c r="AN361" s="65"/>
      <c r="AO361" s="65"/>
      <c r="AP361" s="65"/>
    </row>
    <row r="362" spans="1:42" ht="12.75" customHeight="1" x14ac:dyDescent="0.25">
      <c r="A362" s="65"/>
      <c r="B362" s="65"/>
      <c r="C362" s="66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  <c r="AM362" s="65"/>
      <c r="AN362" s="65"/>
      <c r="AO362" s="65"/>
      <c r="AP362" s="65"/>
    </row>
    <row r="363" spans="1:42" ht="12.75" customHeight="1" x14ac:dyDescent="0.25">
      <c r="A363" s="65"/>
      <c r="B363" s="65"/>
      <c r="C363" s="66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  <c r="AE363" s="65"/>
      <c r="AF363" s="65"/>
      <c r="AG363" s="65"/>
      <c r="AH363" s="65"/>
      <c r="AI363" s="65"/>
      <c r="AJ363" s="65"/>
      <c r="AK363" s="65"/>
      <c r="AL363" s="65"/>
      <c r="AM363" s="65"/>
      <c r="AN363" s="65"/>
      <c r="AO363" s="65"/>
      <c r="AP363" s="65"/>
    </row>
    <row r="364" spans="1:42" ht="12.75" customHeight="1" x14ac:dyDescent="0.25">
      <c r="A364" s="65"/>
      <c r="B364" s="65"/>
      <c r="C364" s="66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65"/>
      <c r="AL364" s="65"/>
      <c r="AM364" s="65"/>
      <c r="AN364" s="65"/>
      <c r="AO364" s="65"/>
      <c r="AP364" s="65"/>
    </row>
    <row r="365" spans="1:42" ht="12.75" customHeight="1" x14ac:dyDescent="0.25">
      <c r="A365" s="65"/>
      <c r="B365" s="65"/>
      <c r="C365" s="66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  <c r="AE365" s="65"/>
      <c r="AF365" s="65"/>
      <c r="AG365" s="65"/>
      <c r="AH365" s="65"/>
      <c r="AI365" s="65"/>
      <c r="AJ365" s="65"/>
      <c r="AK365" s="65"/>
      <c r="AL365" s="65"/>
      <c r="AM365" s="65"/>
      <c r="AN365" s="65"/>
      <c r="AO365" s="65"/>
      <c r="AP365" s="65"/>
    </row>
    <row r="366" spans="1:42" ht="12.75" customHeight="1" x14ac:dyDescent="0.25">
      <c r="A366" s="65"/>
      <c r="B366" s="65"/>
      <c r="C366" s="66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  <c r="AK366" s="65"/>
      <c r="AL366" s="65"/>
      <c r="AM366" s="65"/>
      <c r="AN366" s="65"/>
      <c r="AO366" s="65"/>
      <c r="AP366" s="65"/>
    </row>
    <row r="367" spans="1:42" ht="12.75" customHeight="1" x14ac:dyDescent="0.25">
      <c r="A367" s="65"/>
      <c r="B367" s="65"/>
      <c r="C367" s="66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  <c r="AE367" s="65"/>
      <c r="AF367" s="65"/>
      <c r="AG367" s="65"/>
      <c r="AH367" s="65"/>
      <c r="AI367" s="65"/>
      <c r="AJ367" s="65"/>
      <c r="AK367" s="65"/>
      <c r="AL367" s="65"/>
      <c r="AM367" s="65"/>
      <c r="AN367" s="65"/>
      <c r="AO367" s="65"/>
      <c r="AP367" s="65"/>
    </row>
    <row r="368" spans="1:42" ht="12.75" customHeight="1" x14ac:dyDescent="0.25">
      <c r="A368" s="65"/>
      <c r="B368" s="65"/>
      <c r="C368" s="66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  <c r="AL368" s="65"/>
      <c r="AM368" s="65"/>
      <c r="AN368" s="65"/>
      <c r="AO368" s="65"/>
      <c r="AP368" s="65"/>
    </row>
    <row r="369" spans="1:42" ht="12.75" customHeight="1" x14ac:dyDescent="0.25">
      <c r="A369" s="65"/>
      <c r="B369" s="65"/>
      <c r="C369" s="66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  <c r="AE369" s="65"/>
      <c r="AF369" s="65"/>
      <c r="AG369" s="65"/>
      <c r="AH369" s="65"/>
      <c r="AI369" s="65"/>
      <c r="AJ369" s="65"/>
      <c r="AK369" s="65"/>
      <c r="AL369" s="65"/>
      <c r="AM369" s="65"/>
      <c r="AN369" s="65"/>
      <c r="AO369" s="65"/>
      <c r="AP369" s="65"/>
    </row>
    <row r="370" spans="1:42" ht="12.75" customHeight="1" x14ac:dyDescent="0.25">
      <c r="A370" s="65"/>
      <c r="B370" s="65"/>
      <c r="C370" s="66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  <c r="AM370" s="65"/>
      <c r="AN370" s="65"/>
      <c r="AO370" s="65"/>
      <c r="AP370" s="65"/>
    </row>
    <row r="371" spans="1:42" ht="12.75" customHeight="1" x14ac:dyDescent="0.25">
      <c r="A371" s="65"/>
      <c r="B371" s="65"/>
      <c r="C371" s="66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  <c r="AE371" s="65"/>
      <c r="AF371" s="65"/>
      <c r="AG371" s="65"/>
      <c r="AH371" s="65"/>
      <c r="AI371" s="65"/>
      <c r="AJ371" s="65"/>
      <c r="AK371" s="65"/>
      <c r="AL371" s="65"/>
      <c r="AM371" s="65"/>
      <c r="AN371" s="65"/>
      <c r="AO371" s="65"/>
      <c r="AP371" s="65"/>
    </row>
    <row r="372" spans="1:42" ht="12.75" customHeight="1" x14ac:dyDescent="0.25">
      <c r="A372" s="65"/>
      <c r="B372" s="65"/>
      <c r="C372" s="66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  <c r="AL372" s="65"/>
      <c r="AM372" s="65"/>
      <c r="AN372" s="65"/>
      <c r="AO372" s="65"/>
      <c r="AP372" s="65"/>
    </row>
    <row r="373" spans="1:42" ht="12.75" customHeight="1" x14ac:dyDescent="0.25">
      <c r="A373" s="65"/>
      <c r="B373" s="65"/>
      <c r="C373" s="66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/>
      <c r="AK373" s="65"/>
      <c r="AL373" s="65"/>
      <c r="AM373" s="65"/>
      <c r="AN373" s="65"/>
      <c r="AO373" s="65"/>
      <c r="AP373" s="65"/>
    </row>
    <row r="374" spans="1:42" ht="12.75" customHeight="1" x14ac:dyDescent="0.25">
      <c r="A374" s="65"/>
      <c r="B374" s="65"/>
      <c r="C374" s="66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  <c r="AL374" s="65"/>
      <c r="AM374" s="65"/>
      <c r="AN374" s="65"/>
      <c r="AO374" s="65"/>
      <c r="AP374" s="65"/>
    </row>
    <row r="375" spans="1:42" ht="12.75" customHeight="1" x14ac:dyDescent="0.25">
      <c r="A375" s="65"/>
      <c r="B375" s="65"/>
      <c r="C375" s="66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  <c r="AJ375" s="65"/>
      <c r="AK375" s="65"/>
      <c r="AL375" s="65"/>
      <c r="AM375" s="65"/>
      <c r="AN375" s="65"/>
      <c r="AO375" s="65"/>
      <c r="AP375" s="65"/>
    </row>
    <row r="376" spans="1:42" ht="12.75" customHeight="1" x14ac:dyDescent="0.25">
      <c r="A376" s="65"/>
      <c r="B376" s="65"/>
      <c r="C376" s="66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  <c r="AM376" s="65"/>
      <c r="AN376" s="65"/>
      <c r="AO376" s="65"/>
      <c r="AP376" s="65"/>
    </row>
    <row r="377" spans="1:42" ht="12.75" customHeight="1" x14ac:dyDescent="0.25">
      <c r="A377" s="65"/>
      <c r="B377" s="65"/>
      <c r="C377" s="66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  <c r="AE377" s="65"/>
      <c r="AF377" s="65"/>
      <c r="AG377" s="65"/>
      <c r="AH377" s="65"/>
      <c r="AI377" s="65"/>
      <c r="AJ377" s="65"/>
      <c r="AK377" s="65"/>
      <c r="AL377" s="65"/>
      <c r="AM377" s="65"/>
      <c r="AN377" s="65"/>
      <c r="AO377" s="65"/>
      <c r="AP377" s="65"/>
    </row>
    <row r="378" spans="1:42" ht="12.75" customHeight="1" x14ac:dyDescent="0.25">
      <c r="A378" s="65"/>
      <c r="B378" s="65"/>
      <c r="C378" s="66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  <c r="AP378" s="65"/>
    </row>
    <row r="379" spans="1:42" ht="12.75" customHeight="1" x14ac:dyDescent="0.25">
      <c r="A379" s="65"/>
      <c r="B379" s="65"/>
      <c r="C379" s="66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  <c r="AE379" s="65"/>
      <c r="AF379" s="65"/>
      <c r="AG379" s="65"/>
      <c r="AH379" s="65"/>
      <c r="AI379" s="65"/>
      <c r="AJ379" s="65"/>
      <c r="AK379" s="65"/>
      <c r="AL379" s="65"/>
      <c r="AM379" s="65"/>
      <c r="AN379" s="65"/>
      <c r="AO379" s="65"/>
      <c r="AP379" s="65"/>
    </row>
    <row r="380" spans="1:42" ht="12.75" customHeight="1" x14ac:dyDescent="0.25">
      <c r="A380" s="65"/>
      <c r="B380" s="65"/>
      <c r="C380" s="66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  <c r="AP380" s="65"/>
    </row>
    <row r="381" spans="1:42" ht="12.75" customHeight="1" x14ac:dyDescent="0.25">
      <c r="A381" s="65"/>
      <c r="B381" s="65"/>
      <c r="C381" s="66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  <c r="AE381" s="65"/>
      <c r="AF381" s="65"/>
      <c r="AG381" s="65"/>
      <c r="AH381" s="65"/>
      <c r="AI381" s="65"/>
      <c r="AJ381" s="65"/>
      <c r="AK381" s="65"/>
      <c r="AL381" s="65"/>
      <c r="AM381" s="65"/>
      <c r="AN381" s="65"/>
      <c r="AO381" s="65"/>
      <c r="AP381" s="65"/>
    </row>
    <row r="382" spans="1:42" ht="12.75" customHeight="1" x14ac:dyDescent="0.25">
      <c r="A382" s="65"/>
      <c r="B382" s="65"/>
      <c r="C382" s="66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  <c r="AL382" s="65"/>
      <c r="AM382" s="65"/>
      <c r="AN382" s="65"/>
      <c r="AO382" s="65"/>
      <c r="AP382" s="65"/>
    </row>
    <row r="383" spans="1:42" ht="12.75" customHeight="1" x14ac:dyDescent="0.25">
      <c r="A383" s="65"/>
      <c r="B383" s="65"/>
      <c r="C383" s="66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  <c r="AE383" s="65"/>
      <c r="AF383" s="65"/>
      <c r="AG383" s="65"/>
      <c r="AH383" s="65"/>
      <c r="AI383" s="65"/>
      <c r="AJ383" s="65"/>
      <c r="AK383" s="65"/>
      <c r="AL383" s="65"/>
      <c r="AM383" s="65"/>
      <c r="AN383" s="65"/>
      <c r="AO383" s="65"/>
      <c r="AP383" s="65"/>
    </row>
    <row r="384" spans="1:42" ht="12.75" customHeight="1" x14ac:dyDescent="0.25">
      <c r="A384" s="65"/>
      <c r="B384" s="65"/>
      <c r="C384" s="66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65"/>
      <c r="AL384" s="65"/>
      <c r="AM384" s="65"/>
      <c r="AN384" s="65"/>
      <c r="AO384" s="65"/>
      <c r="AP384" s="65"/>
    </row>
    <row r="385" spans="1:42" ht="12.75" customHeight="1" x14ac:dyDescent="0.25">
      <c r="A385" s="65"/>
      <c r="B385" s="65"/>
      <c r="C385" s="66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  <c r="AE385" s="65"/>
      <c r="AF385" s="65"/>
      <c r="AG385" s="65"/>
      <c r="AH385" s="65"/>
      <c r="AI385" s="65"/>
      <c r="AJ385" s="65"/>
      <c r="AK385" s="65"/>
      <c r="AL385" s="65"/>
      <c r="AM385" s="65"/>
      <c r="AN385" s="65"/>
      <c r="AO385" s="65"/>
      <c r="AP385" s="65"/>
    </row>
    <row r="386" spans="1:42" ht="12.75" customHeight="1" x14ac:dyDescent="0.25">
      <c r="A386" s="65"/>
      <c r="B386" s="65"/>
      <c r="C386" s="66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  <c r="AL386" s="65"/>
      <c r="AM386" s="65"/>
      <c r="AN386" s="65"/>
      <c r="AO386" s="65"/>
      <c r="AP386" s="65"/>
    </row>
    <row r="387" spans="1:42" ht="12.75" customHeight="1" x14ac:dyDescent="0.25">
      <c r="A387" s="65"/>
      <c r="B387" s="65"/>
      <c r="C387" s="66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65"/>
      <c r="AJ387" s="65"/>
      <c r="AK387" s="65"/>
      <c r="AL387" s="65"/>
      <c r="AM387" s="65"/>
      <c r="AN387" s="65"/>
      <c r="AO387" s="65"/>
      <c r="AP387" s="65"/>
    </row>
    <row r="388" spans="1:42" ht="12.75" customHeight="1" x14ac:dyDescent="0.25">
      <c r="A388" s="65"/>
      <c r="B388" s="65"/>
      <c r="C388" s="66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65"/>
      <c r="AL388" s="65"/>
      <c r="AM388" s="65"/>
      <c r="AN388" s="65"/>
      <c r="AO388" s="65"/>
      <c r="AP388" s="65"/>
    </row>
    <row r="389" spans="1:42" ht="12.75" customHeight="1" x14ac:dyDescent="0.25">
      <c r="A389" s="65"/>
      <c r="B389" s="65"/>
      <c r="C389" s="66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  <c r="AE389" s="65"/>
      <c r="AF389" s="65"/>
      <c r="AG389" s="65"/>
      <c r="AH389" s="65"/>
      <c r="AI389" s="65"/>
      <c r="AJ389" s="65"/>
      <c r="AK389" s="65"/>
      <c r="AL389" s="65"/>
      <c r="AM389" s="65"/>
      <c r="AN389" s="65"/>
      <c r="AO389" s="65"/>
      <c r="AP389" s="65"/>
    </row>
    <row r="390" spans="1:42" ht="12.75" customHeight="1" x14ac:dyDescent="0.25">
      <c r="A390" s="65"/>
      <c r="B390" s="65"/>
      <c r="C390" s="66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  <c r="AK390" s="65"/>
      <c r="AL390" s="65"/>
      <c r="AM390" s="65"/>
      <c r="AN390" s="65"/>
      <c r="AO390" s="65"/>
      <c r="AP390" s="65"/>
    </row>
    <row r="391" spans="1:42" ht="12.75" customHeight="1" x14ac:dyDescent="0.25">
      <c r="A391" s="65"/>
      <c r="B391" s="65"/>
      <c r="C391" s="66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  <c r="AE391" s="65"/>
      <c r="AF391" s="65"/>
      <c r="AG391" s="65"/>
      <c r="AH391" s="65"/>
      <c r="AI391" s="65"/>
      <c r="AJ391" s="65"/>
      <c r="AK391" s="65"/>
      <c r="AL391" s="65"/>
      <c r="AM391" s="65"/>
      <c r="AN391" s="65"/>
      <c r="AO391" s="65"/>
      <c r="AP391" s="65"/>
    </row>
    <row r="392" spans="1:42" ht="12.75" customHeight="1" x14ac:dyDescent="0.25">
      <c r="A392" s="65"/>
      <c r="B392" s="65"/>
      <c r="C392" s="66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65"/>
      <c r="AL392" s="65"/>
      <c r="AM392" s="65"/>
      <c r="AN392" s="65"/>
      <c r="AO392" s="65"/>
      <c r="AP392" s="65"/>
    </row>
    <row r="393" spans="1:42" ht="12.75" customHeight="1" x14ac:dyDescent="0.25">
      <c r="A393" s="65"/>
      <c r="B393" s="65"/>
      <c r="C393" s="66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  <c r="AE393" s="65"/>
      <c r="AF393" s="65"/>
      <c r="AG393" s="65"/>
      <c r="AH393" s="65"/>
      <c r="AI393" s="65"/>
      <c r="AJ393" s="65"/>
      <c r="AK393" s="65"/>
      <c r="AL393" s="65"/>
      <c r="AM393" s="65"/>
      <c r="AN393" s="65"/>
      <c r="AO393" s="65"/>
      <c r="AP393" s="65"/>
    </row>
    <row r="394" spans="1:42" ht="12.75" customHeight="1" x14ac:dyDescent="0.25">
      <c r="A394" s="65"/>
      <c r="B394" s="65"/>
      <c r="C394" s="66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/>
      <c r="AL394" s="65"/>
      <c r="AM394" s="65"/>
      <c r="AN394" s="65"/>
      <c r="AO394" s="65"/>
      <c r="AP394" s="65"/>
    </row>
    <row r="395" spans="1:42" ht="12.75" customHeight="1" x14ac:dyDescent="0.25">
      <c r="A395" s="65"/>
      <c r="B395" s="65"/>
      <c r="C395" s="66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  <c r="AE395" s="65"/>
      <c r="AF395" s="65"/>
      <c r="AG395" s="65"/>
      <c r="AH395" s="65"/>
      <c r="AI395" s="65"/>
      <c r="AJ395" s="65"/>
      <c r="AK395" s="65"/>
      <c r="AL395" s="65"/>
      <c r="AM395" s="65"/>
      <c r="AN395" s="65"/>
      <c r="AO395" s="65"/>
      <c r="AP395" s="65"/>
    </row>
    <row r="396" spans="1:42" ht="12.75" customHeight="1" x14ac:dyDescent="0.25">
      <c r="A396" s="65"/>
      <c r="B396" s="65"/>
      <c r="C396" s="66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65"/>
      <c r="AL396" s="65"/>
      <c r="AM396" s="65"/>
      <c r="AN396" s="65"/>
      <c r="AO396" s="65"/>
      <c r="AP396" s="65"/>
    </row>
    <row r="397" spans="1:42" ht="12.75" customHeight="1" x14ac:dyDescent="0.25">
      <c r="A397" s="65"/>
      <c r="B397" s="65"/>
      <c r="C397" s="66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  <c r="AE397" s="65"/>
      <c r="AF397" s="65"/>
      <c r="AG397" s="65"/>
      <c r="AH397" s="65"/>
      <c r="AI397" s="65"/>
      <c r="AJ397" s="65"/>
      <c r="AK397" s="65"/>
      <c r="AL397" s="65"/>
      <c r="AM397" s="65"/>
      <c r="AN397" s="65"/>
      <c r="AO397" s="65"/>
      <c r="AP397" s="65"/>
    </row>
    <row r="398" spans="1:42" ht="12.75" customHeight="1" x14ac:dyDescent="0.25">
      <c r="A398" s="65"/>
      <c r="B398" s="65"/>
      <c r="C398" s="66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65"/>
      <c r="AL398" s="65"/>
      <c r="AM398" s="65"/>
      <c r="AN398" s="65"/>
      <c r="AO398" s="65"/>
      <c r="AP398" s="65"/>
    </row>
    <row r="399" spans="1:42" ht="12.75" customHeight="1" x14ac:dyDescent="0.25">
      <c r="A399" s="65"/>
      <c r="B399" s="65"/>
      <c r="C399" s="66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  <c r="AE399" s="65"/>
      <c r="AF399" s="65"/>
      <c r="AG399" s="65"/>
      <c r="AH399" s="65"/>
      <c r="AI399" s="65"/>
      <c r="AJ399" s="65"/>
      <c r="AK399" s="65"/>
      <c r="AL399" s="65"/>
      <c r="AM399" s="65"/>
      <c r="AN399" s="65"/>
      <c r="AO399" s="65"/>
      <c r="AP399" s="65"/>
    </row>
    <row r="400" spans="1:42" ht="12.75" customHeight="1" x14ac:dyDescent="0.25">
      <c r="A400" s="65"/>
      <c r="B400" s="65"/>
      <c r="C400" s="66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65"/>
      <c r="AL400" s="65"/>
      <c r="AM400" s="65"/>
      <c r="AN400" s="65"/>
      <c r="AO400" s="65"/>
      <c r="AP400" s="65"/>
    </row>
    <row r="401" spans="1:42" ht="12.75" customHeight="1" x14ac:dyDescent="0.25">
      <c r="A401" s="65"/>
      <c r="B401" s="65"/>
      <c r="C401" s="66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  <c r="AE401" s="65"/>
      <c r="AF401" s="65"/>
      <c r="AG401" s="65"/>
      <c r="AH401" s="65"/>
      <c r="AI401" s="65"/>
      <c r="AJ401" s="65"/>
      <c r="AK401" s="65"/>
      <c r="AL401" s="65"/>
      <c r="AM401" s="65"/>
      <c r="AN401" s="65"/>
      <c r="AO401" s="65"/>
      <c r="AP401" s="65"/>
    </row>
    <row r="402" spans="1:42" ht="12.75" customHeight="1" x14ac:dyDescent="0.25">
      <c r="A402" s="65"/>
      <c r="B402" s="65"/>
      <c r="C402" s="66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  <c r="AM402" s="65"/>
      <c r="AN402" s="65"/>
      <c r="AO402" s="65"/>
      <c r="AP402" s="65"/>
    </row>
    <row r="403" spans="1:42" ht="12.75" customHeight="1" x14ac:dyDescent="0.25">
      <c r="A403" s="65"/>
      <c r="B403" s="65"/>
      <c r="C403" s="66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  <c r="AE403" s="65"/>
      <c r="AF403" s="65"/>
      <c r="AG403" s="65"/>
      <c r="AH403" s="65"/>
      <c r="AI403" s="65"/>
      <c r="AJ403" s="65"/>
      <c r="AK403" s="65"/>
      <c r="AL403" s="65"/>
      <c r="AM403" s="65"/>
      <c r="AN403" s="65"/>
      <c r="AO403" s="65"/>
      <c r="AP403" s="65"/>
    </row>
    <row r="404" spans="1:42" ht="12.75" customHeight="1" x14ac:dyDescent="0.25">
      <c r="A404" s="65"/>
      <c r="B404" s="65"/>
      <c r="C404" s="66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  <c r="AL404" s="65"/>
      <c r="AM404" s="65"/>
      <c r="AN404" s="65"/>
      <c r="AO404" s="65"/>
      <c r="AP404" s="65"/>
    </row>
    <row r="405" spans="1:42" ht="12.75" customHeight="1" x14ac:dyDescent="0.25">
      <c r="A405" s="65"/>
      <c r="B405" s="65"/>
      <c r="C405" s="66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  <c r="AE405" s="65"/>
      <c r="AF405" s="65"/>
      <c r="AG405" s="65"/>
      <c r="AH405" s="65"/>
      <c r="AI405" s="65"/>
      <c r="AJ405" s="65"/>
      <c r="AK405" s="65"/>
      <c r="AL405" s="65"/>
      <c r="AM405" s="65"/>
      <c r="AN405" s="65"/>
      <c r="AO405" s="65"/>
      <c r="AP405" s="65"/>
    </row>
    <row r="406" spans="1:42" ht="12.75" customHeight="1" x14ac:dyDescent="0.25">
      <c r="A406" s="65"/>
      <c r="B406" s="65"/>
      <c r="C406" s="66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65"/>
      <c r="AL406" s="65"/>
      <c r="AM406" s="65"/>
      <c r="AN406" s="65"/>
      <c r="AO406" s="65"/>
      <c r="AP406" s="65"/>
    </row>
    <row r="407" spans="1:42" ht="12.75" customHeight="1" x14ac:dyDescent="0.25">
      <c r="A407" s="65"/>
      <c r="B407" s="65"/>
      <c r="C407" s="66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  <c r="AE407" s="65"/>
      <c r="AF407" s="65"/>
      <c r="AG407" s="65"/>
      <c r="AH407" s="65"/>
      <c r="AI407" s="65"/>
      <c r="AJ407" s="65"/>
      <c r="AK407" s="65"/>
      <c r="AL407" s="65"/>
      <c r="AM407" s="65"/>
      <c r="AN407" s="65"/>
      <c r="AO407" s="65"/>
      <c r="AP407" s="65"/>
    </row>
    <row r="408" spans="1:42" ht="12.75" customHeight="1" x14ac:dyDescent="0.25">
      <c r="A408" s="65"/>
      <c r="B408" s="65"/>
      <c r="C408" s="66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65"/>
      <c r="AL408" s="65"/>
      <c r="AM408" s="65"/>
      <c r="AN408" s="65"/>
      <c r="AO408" s="65"/>
      <c r="AP408" s="65"/>
    </row>
    <row r="409" spans="1:42" ht="12.75" customHeight="1" x14ac:dyDescent="0.25">
      <c r="A409" s="65"/>
      <c r="B409" s="65"/>
      <c r="C409" s="66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  <c r="AE409" s="65"/>
      <c r="AF409" s="65"/>
      <c r="AG409" s="65"/>
      <c r="AH409" s="65"/>
      <c r="AI409" s="65"/>
      <c r="AJ409" s="65"/>
      <c r="AK409" s="65"/>
      <c r="AL409" s="65"/>
      <c r="AM409" s="65"/>
      <c r="AN409" s="65"/>
      <c r="AO409" s="65"/>
      <c r="AP409" s="65"/>
    </row>
    <row r="410" spans="1:42" ht="12.75" customHeight="1" x14ac:dyDescent="0.25">
      <c r="A410" s="65"/>
      <c r="B410" s="65"/>
      <c r="C410" s="66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  <c r="AK410" s="65"/>
      <c r="AL410" s="65"/>
      <c r="AM410" s="65"/>
      <c r="AN410" s="65"/>
      <c r="AO410" s="65"/>
      <c r="AP410" s="65"/>
    </row>
    <row r="411" spans="1:42" ht="12.75" customHeight="1" x14ac:dyDescent="0.25">
      <c r="A411" s="65"/>
      <c r="B411" s="65"/>
      <c r="C411" s="66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  <c r="AE411" s="65"/>
      <c r="AF411" s="65"/>
      <c r="AG411" s="65"/>
      <c r="AH411" s="65"/>
      <c r="AI411" s="65"/>
      <c r="AJ411" s="65"/>
      <c r="AK411" s="65"/>
      <c r="AL411" s="65"/>
      <c r="AM411" s="65"/>
      <c r="AN411" s="65"/>
      <c r="AO411" s="65"/>
      <c r="AP411" s="65"/>
    </row>
    <row r="412" spans="1:42" ht="12.75" customHeight="1" x14ac:dyDescent="0.25">
      <c r="A412" s="65"/>
      <c r="B412" s="65"/>
      <c r="C412" s="66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65"/>
      <c r="AL412" s="65"/>
      <c r="AM412" s="65"/>
      <c r="AN412" s="65"/>
      <c r="AO412" s="65"/>
      <c r="AP412" s="65"/>
    </row>
    <row r="413" spans="1:42" ht="12.75" customHeight="1" x14ac:dyDescent="0.25">
      <c r="A413" s="65"/>
      <c r="B413" s="65"/>
      <c r="C413" s="66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  <c r="AE413" s="65"/>
      <c r="AF413" s="65"/>
      <c r="AG413" s="65"/>
      <c r="AH413" s="65"/>
      <c r="AI413" s="65"/>
      <c r="AJ413" s="65"/>
      <c r="AK413" s="65"/>
      <c r="AL413" s="65"/>
      <c r="AM413" s="65"/>
      <c r="AN413" s="65"/>
      <c r="AO413" s="65"/>
      <c r="AP413" s="65"/>
    </row>
    <row r="414" spans="1:42" ht="12.75" customHeight="1" x14ac:dyDescent="0.25">
      <c r="A414" s="65"/>
      <c r="B414" s="65"/>
      <c r="C414" s="66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65"/>
      <c r="AL414" s="65"/>
      <c r="AM414" s="65"/>
      <c r="AN414" s="65"/>
      <c r="AO414" s="65"/>
      <c r="AP414" s="65"/>
    </row>
    <row r="415" spans="1:42" ht="12.75" customHeight="1" x14ac:dyDescent="0.25">
      <c r="A415" s="65"/>
      <c r="B415" s="65"/>
      <c r="C415" s="66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  <c r="AE415" s="65"/>
      <c r="AF415" s="65"/>
      <c r="AG415" s="65"/>
      <c r="AH415" s="65"/>
      <c r="AI415" s="65"/>
      <c r="AJ415" s="65"/>
      <c r="AK415" s="65"/>
      <c r="AL415" s="65"/>
      <c r="AM415" s="65"/>
      <c r="AN415" s="65"/>
      <c r="AO415" s="65"/>
      <c r="AP415" s="65"/>
    </row>
    <row r="416" spans="1:42" ht="12.75" customHeight="1" x14ac:dyDescent="0.25">
      <c r="A416" s="65"/>
      <c r="B416" s="65"/>
      <c r="C416" s="66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  <c r="AL416" s="65"/>
      <c r="AM416" s="65"/>
      <c r="AN416" s="65"/>
      <c r="AO416" s="65"/>
      <c r="AP416" s="65"/>
    </row>
    <row r="417" spans="1:42" ht="12.75" customHeight="1" x14ac:dyDescent="0.25">
      <c r="A417" s="65"/>
      <c r="B417" s="65"/>
      <c r="C417" s="66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  <c r="AE417" s="65"/>
      <c r="AF417" s="65"/>
      <c r="AG417" s="65"/>
      <c r="AH417" s="65"/>
      <c r="AI417" s="65"/>
      <c r="AJ417" s="65"/>
      <c r="AK417" s="65"/>
      <c r="AL417" s="65"/>
      <c r="AM417" s="65"/>
      <c r="AN417" s="65"/>
      <c r="AO417" s="65"/>
      <c r="AP417" s="65"/>
    </row>
    <row r="418" spans="1:42" ht="12.75" customHeight="1" x14ac:dyDescent="0.25">
      <c r="A418" s="65"/>
      <c r="B418" s="65"/>
      <c r="C418" s="66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  <c r="AK418" s="65"/>
      <c r="AL418" s="65"/>
      <c r="AM418" s="65"/>
      <c r="AN418" s="65"/>
      <c r="AO418" s="65"/>
      <c r="AP418" s="65"/>
    </row>
    <row r="419" spans="1:42" ht="12.75" customHeight="1" x14ac:dyDescent="0.25">
      <c r="A419" s="65"/>
      <c r="B419" s="65"/>
      <c r="C419" s="66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  <c r="AE419" s="65"/>
      <c r="AF419" s="65"/>
      <c r="AG419" s="65"/>
      <c r="AH419" s="65"/>
      <c r="AI419" s="65"/>
      <c r="AJ419" s="65"/>
      <c r="AK419" s="65"/>
      <c r="AL419" s="65"/>
      <c r="AM419" s="65"/>
      <c r="AN419" s="65"/>
      <c r="AO419" s="65"/>
      <c r="AP419" s="65"/>
    </row>
    <row r="420" spans="1:42" ht="12.75" customHeight="1" x14ac:dyDescent="0.25">
      <c r="A420" s="65"/>
      <c r="B420" s="65"/>
      <c r="C420" s="66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  <c r="AJ420" s="65"/>
      <c r="AK420" s="65"/>
      <c r="AL420" s="65"/>
      <c r="AM420" s="65"/>
      <c r="AN420" s="65"/>
      <c r="AO420" s="65"/>
      <c r="AP420" s="65"/>
    </row>
    <row r="421" spans="1:42" ht="12.75" customHeight="1" x14ac:dyDescent="0.25">
      <c r="A421" s="65"/>
      <c r="B421" s="65"/>
      <c r="C421" s="66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  <c r="AE421" s="65"/>
      <c r="AF421" s="65"/>
      <c r="AG421" s="65"/>
      <c r="AH421" s="65"/>
      <c r="AI421" s="65"/>
      <c r="AJ421" s="65"/>
      <c r="AK421" s="65"/>
      <c r="AL421" s="65"/>
      <c r="AM421" s="65"/>
      <c r="AN421" s="65"/>
      <c r="AO421" s="65"/>
      <c r="AP421" s="65"/>
    </row>
    <row r="422" spans="1:42" ht="12.75" customHeight="1" x14ac:dyDescent="0.25">
      <c r="A422" s="65"/>
      <c r="B422" s="65"/>
      <c r="C422" s="66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  <c r="AJ422" s="65"/>
      <c r="AK422" s="65"/>
      <c r="AL422" s="65"/>
      <c r="AM422" s="65"/>
      <c r="AN422" s="65"/>
      <c r="AO422" s="65"/>
      <c r="AP422" s="65"/>
    </row>
    <row r="423" spans="1:42" ht="12.75" customHeight="1" x14ac:dyDescent="0.25">
      <c r="A423" s="65"/>
      <c r="B423" s="65"/>
      <c r="C423" s="66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  <c r="AE423" s="65"/>
      <c r="AF423" s="65"/>
      <c r="AG423" s="65"/>
      <c r="AH423" s="65"/>
      <c r="AI423" s="65"/>
      <c r="AJ423" s="65"/>
      <c r="AK423" s="65"/>
      <c r="AL423" s="65"/>
      <c r="AM423" s="65"/>
      <c r="AN423" s="65"/>
      <c r="AO423" s="65"/>
      <c r="AP423" s="65"/>
    </row>
    <row r="424" spans="1:42" ht="12.75" customHeight="1" x14ac:dyDescent="0.25">
      <c r="A424" s="65"/>
      <c r="B424" s="65"/>
      <c r="C424" s="66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  <c r="AL424" s="65"/>
      <c r="AM424" s="65"/>
      <c r="AN424" s="65"/>
      <c r="AO424" s="65"/>
      <c r="AP424" s="65"/>
    </row>
    <row r="425" spans="1:42" ht="12.75" customHeight="1" x14ac:dyDescent="0.25">
      <c r="A425" s="65"/>
      <c r="B425" s="65"/>
      <c r="C425" s="66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  <c r="AE425" s="65"/>
      <c r="AF425" s="65"/>
      <c r="AG425" s="65"/>
      <c r="AH425" s="65"/>
      <c r="AI425" s="65"/>
      <c r="AJ425" s="65"/>
      <c r="AK425" s="65"/>
      <c r="AL425" s="65"/>
      <c r="AM425" s="65"/>
      <c r="AN425" s="65"/>
      <c r="AO425" s="65"/>
      <c r="AP425" s="65"/>
    </row>
    <row r="426" spans="1:42" ht="12.75" customHeight="1" x14ac:dyDescent="0.25">
      <c r="A426" s="65"/>
      <c r="B426" s="65"/>
      <c r="C426" s="66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  <c r="AJ426" s="65"/>
      <c r="AK426" s="65"/>
      <c r="AL426" s="65"/>
      <c r="AM426" s="65"/>
      <c r="AN426" s="65"/>
      <c r="AO426" s="65"/>
      <c r="AP426" s="65"/>
    </row>
    <row r="427" spans="1:42" ht="12.75" customHeight="1" x14ac:dyDescent="0.25">
      <c r="A427" s="65"/>
      <c r="B427" s="65"/>
      <c r="C427" s="66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  <c r="AE427" s="65"/>
      <c r="AF427" s="65"/>
      <c r="AG427" s="65"/>
      <c r="AH427" s="65"/>
      <c r="AI427" s="65"/>
      <c r="AJ427" s="65"/>
      <c r="AK427" s="65"/>
      <c r="AL427" s="65"/>
      <c r="AM427" s="65"/>
      <c r="AN427" s="65"/>
      <c r="AO427" s="65"/>
      <c r="AP427" s="65"/>
    </row>
    <row r="428" spans="1:42" ht="12.75" customHeight="1" x14ac:dyDescent="0.25">
      <c r="A428" s="65"/>
      <c r="B428" s="65"/>
      <c r="C428" s="66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  <c r="AJ428" s="65"/>
      <c r="AK428" s="65"/>
      <c r="AL428" s="65"/>
      <c r="AM428" s="65"/>
      <c r="AN428" s="65"/>
      <c r="AO428" s="65"/>
      <c r="AP428" s="65"/>
    </row>
    <row r="429" spans="1:42" ht="12.75" customHeight="1" x14ac:dyDescent="0.25">
      <c r="A429" s="65"/>
      <c r="B429" s="65"/>
      <c r="C429" s="66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  <c r="AE429" s="65"/>
      <c r="AF429" s="65"/>
      <c r="AG429" s="65"/>
      <c r="AH429" s="65"/>
      <c r="AI429" s="65"/>
      <c r="AJ429" s="65"/>
      <c r="AK429" s="65"/>
      <c r="AL429" s="65"/>
      <c r="AM429" s="65"/>
      <c r="AN429" s="65"/>
      <c r="AO429" s="65"/>
      <c r="AP429" s="65"/>
    </row>
    <row r="430" spans="1:42" ht="12.75" customHeight="1" x14ac:dyDescent="0.25">
      <c r="A430" s="65"/>
      <c r="B430" s="65"/>
      <c r="C430" s="66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  <c r="AJ430" s="65"/>
      <c r="AK430" s="65"/>
      <c r="AL430" s="65"/>
      <c r="AM430" s="65"/>
      <c r="AN430" s="65"/>
      <c r="AO430" s="65"/>
      <c r="AP430" s="65"/>
    </row>
    <row r="431" spans="1:42" ht="12.75" customHeight="1" x14ac:dyDescent="0.25">
      <c r="A431" s="65"/>
      <c r="B431" s="65"/>
      <c r="C431" s="66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  <c r="AE431" s="65"/>
      <c r="AF431" s="65"/>
      <c r="AG431" s="65"/>
      <c r="AH431" s="65"/>
      <c r="AI431" s="65"/>
      <c r="AJ431" s="65"/>
      <c r="AK431" s="65"/>
      <c r="AL431" s="65"/>
      <c r="AM431" s="65"/>
      <c r="AN431" s="65"/>
      <c r="AO431" s="65"/>
      <c r="AP431" s="65"/>
    </row>
    <row r="432" spans="1:42" ht="12.75" customHeight="1" x14ac:dyDescent="0.25">
      <c r="A432" s="65"/>
      <c r="B432" s="65"/>
      <c r="C432" s="66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  <c r="AJ432" s="65"/>
      <c r="AK432" s="65"/>
      <c r="AL432" s="65"/>
      <c r="AM432" s="65"/>
      <c r="AN432" s="65"/>
      <c r="AO432" s="65"/>
      <c r="AP432" s="65"/>
    </row>
    <row r="433" spans="1:42" ht="12.75" customHeight="1" x14ac:dyDescent="0.25">
      <c r="A433" s="65"/>
      <c r="B433" s="65"/>
      <c r="C433" s="66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  <c r="AE433" s="65"/>
      <c r="AF433" s="65"/>
      <c r="AG433" s="65"/>
      <c r="AH433" s="65"/>
      <c r="AI433" s="65"/>
      <c r="AJ433" s="65"/>
      <c r="AK433" s="65"/>
      <c r="AL433" s="65"/>
      <c r="AM433" s="65"/>
      <c r="AN433" s="65"/>
      <c r="AO433" s="65"/>
      <c r="AP433" s="65"/>
    </row>
    <row r="434" spans="1:42" ht="12.75" customHeight="1" x14ac:dyDescent="0.25">
      <c r="A434" s="65"/>
      <c r="B434" s="65"/>
      <c r="C434" s="66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5"/>
      <c r="AF434" s="65"/>
      <c r="AG434" s="65"/>
      <c r="AH434" s="65"/>
      <c r="AI434" s="65"/>
      <c r="AJ434" s="65"/>
      <c r="AK434" s="65"/>
      <c r="AL434" s="65"/>
      <c r="AM434" s="65"/>
      <c r="AN434" s="65"/>
      <c r="AO434" s="65"/>
      <c r="AP434" s="65"/>
    </row>
    <row r="435" spans="1:42" ht="12.75" customHeight="1" x14ac:dyDescent="0.25">
      <c r="A435" s="65"/>
      <c r="B435" s="65"/>
      <c r="C435" s="66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  <c r="AE435" s="65"/>
      <c r="AF435" s="65"/>
      <c r="AG435" s="65"/>
      <c r="AH435" s="65"/>
      <c r="AI435" s="65"/>
      <c r="AJ435" s="65"/>
      <c r="AK435" s="65"/>
      <c r="AL435" s="65"/>
      <c r="AM435" s="65"/>
      <c r="AN435" s="65"/>
      <c r="AO435" s="65"/>
      <c r="AP435" s="65"/>
    </row>
    <row r="436" spans="1:42" ht="12.75" customHeight="1" x14ac:dyDescent="0.25">
      <c r="A436" s="65"/>
      <c r="B436" s="65"/>
      <c r="C436" s="66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  <c r="AF436" s="65"/>
      <c r="AG436" s="65"/>
      <c r="AH436" s="65"/>
      <c r="AI436" s="65"/>
      <c r="AJ436" s="65"/>
      <c r="AK436" s="65"/>
      <c r="AL436" s="65"/>
      <c r="AM436" s="65"/>
      <c r="AN436" s="65"/>
      <c r="AO436" s="65"/>
      <c r="AP436" s="65"/>
    </row>
    <row r="437" spans="1:42" ht="12.75" customHeight="1" x14ac:dyDescent="0.25">
      <c r="A437" s="65"/>
      <c r="B437" s="65"/>
      <c r="C437" s="66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  <c r="AE437" s="65"/>
      <c r="AF437" s="65"/>
      <c r="AG437" s="65"/>
      <c r="AH437" s="65"/>
      <c r="AI437" s="65"/>
      <c r="AJ437" s="65"/>
      <c r="AK437" s="65"/>
      <c r="AL437" s="65"/>
      <c r="AM437" s="65"/>
      <c r="AN437" s="65"/>
      <c r="AO437" s="65"/>
      <c r="AP437" s="65"/>
    </row>
    <row r="438" spans="1:42" ht="12.75" customHeight="1" x14ac:dyDescent="0.25">
      <c r="A438" s="65"/>
      <c r="B438" s="65"/>
      <c r="C438" s="66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65"/>
      <c r="AF438" s="65"/>
      <c r="AG438" s="65"/>
      <c r="AH438" s="65"/>
      <c r="AI438" s="65"/>
      <c r="AJ438" s="65"/>
      <c r="AK438" s="65"/>
      <c r="AL438" s="65"/>
      <c r="AM438" s="65"/>
      <c r="AN438" s="65"/>
      <c r="AO438" s="65"/>
      <c r="AP438" s="65"/>
    </row>
    <row r="439" spans="1:42" ht="12.75" customHeight="1" x14ac:dyDescent="0.25">
      <c r="A439" s="65"/>
      <c r="B439" s="65"/>
      <c r="C439" s="66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  <c r="AE439" s="65"/>
      <c r="AF439" s="65"/>
      <c r="AG439" s="65"/>
      <c r="AH439" s="65"/>
      <c r="AI439" s="65"/>
      <c r="AJ439" s="65"/>
      <c r="AK439" s="65"/>
      <c r="AL439" s="65"/>
      <c r="AM439" s="65"/>
      <c r="AN439" s="65"/>
      <c r="AO439" s="65"/>
      <c r="AP439" s="65"/>
    </row>
    <row r="440" spans="1:42" ht="12.75" customHeight="1" x14ac:dyDescent="0.25">
      <c r="A440" s="65"/>
      <c r="B440" s="65"/>
      <c r="C440" s="66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65"/>
      <c r="AF440" s="65"/>
      <c r="AG440" s="65"/>
      <c r="AH440" s="65"/>
      <c r="AI440" s="65"/>
      <c r="AJ440" s="65"/>
      <c r="AK440" s="65"/>
      <c r="AL440" s="65"/>
      <c r="AM440" s="65"/>
      <c r="AN440" s="65"/>
      <c r="AO440" s="65"/>
      <c r="AP440" s="65"/>
    </row>
    <row r="441" spans="1:42" ht="12.75" customHeight="1" x14ac:dyDescent="0.25">
      <c r="A441" s="65"/>
      <c r="B441" s="65"/>
      <c r="C441" s="66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  <c r="AE441" s="65"/>
      <c r="AF441" s="65"/>
      <c r="AG441" s="65"/>
      <c r="AH441" s="65"/>
      <c r="AI441" s="65"/>
      <c r="AJ441" s="65"/>
      <c r="AK441" s="65"/>
      <c r="AL441" s="65"/>
      <c r="AM441" s="65"/>
      <c r="AN441" s="65"/>
      <c r="AO441" s="65"/>
      <c r="AP441" s="65"/>
    </row>
    <row r="442" spans="1:42" ht="12.75" customHeight="1" x14ac:dyDescent="0.25">
      <c r="A442" s="65"/>
      <c r="B442" s="65"/>
      <c r="C442" s="66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65"/>
      <c r="AG442" s="65"/>
      <c r="AH442" s="65"/>
      <c r="AI442" s="65"/>
      <c r="AJ442" s="65"/>
      <c r="AK442" s="65"/>
      <c r="AL442" s="65"/>
      <c r="AM442" s="65"/>
      <c r="AN442" s="65"/>
      <c r="AO442" s="65"/>
      <c r="AP442" s="65"/>
    </row>
    <row r="443" spans="1:42" ht="12.75" customHeight="1" x14ac:dyDescent="0.25">
      <c r="A443" s="65"/>
      <c r="B443" s="65"/>
      <c r="C443" s="66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  <c r="AE443" s="65"/>
      <c r="AF443" s="65"/>
      <c r="AG443" s="65"/>
      <c r="AH443" s="65"/>
      <c r="AI443" s="65"/>
      <c r="AJ443" s="65"/>
      <c r="AK443" s="65"/>
      <c r="AL443" s="65"/>
      <c r="AM443" s="65"/>
      <c r="AN443" s="65"/>
      <c r="AO443" s="65"/>
      <c r="AP443" s="65"/>
    </row>
    <row r="444" spans="1:42" ht="12.75" customHeight="1" x14ac:dyDescent="0.25">
      <c r="A444" s="65"/>
      <c r="B444" s="65"/>
      <c r="C444" s="66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  <c r="AJ444" s="65"/>
      <c r="AK444" s="65"/>
      <c r="AL444" s="65"/>
      <c r="AM444" s="65"/>
      <c r="AN444" s="65"/>
      <c r="AO444" s="65"/>
      <c r="AP444" s="65"/>
    </row>
    <row r="445" spans="1:42" ht="12.75" customHeight="1" x14ac:dyDescent="0.25">
      <c r="A445" s="65"/>
      <c r="B445" s="65"/>
      <c r="C445" s="66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  <c r="AE445" s="65"/>
      <c r="AF445" s="65"/>
      <c r="AG445" s="65"/>
      <c r="AH445" s="65"/>
      <c r="AI445" s="65"/>
      <c r="AJ445" s="65"/>
      <c r="AK445" s="65"/>
      <c r="AL445" s="65"/>
      <c r="AM445" s="65"/>
      <c r="AN445" s="65"/>
      <c r="AO445" s="65"/>
      <c r="AP445" s="65"/>
    </row>
    <row r="446" spans="1:42" ht="12.75" customHeight="1" x14ac:dyDescent="0.25">
      <c r="A446" s="65"/>
      <c r="B446" s="65"/>
      <c r="C446" s="66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  <c r="AJ446" s="65"/>
      <c r="AK446" s="65"/>
      <c r="AL446" s="65"/>
      <c r="AM446" s="65"/>
      <c r="AN446" s="65"/>
      <c r="AO446" s="65"/>
      <c r="AP446" s="65"/>
    </row>
    <row r="447" spans="1:42" ht="12.75" customHeight="1" x14ac:dyDescent="0.25">
      <c r="A447" s="65"/>
      <c r="B447" s="65"/>
      <c r="C447" s="66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  <c r="AE447" s="65"/>
      <c r="AF447" s="65"/>
      <c r="AG447" s="65"/>
      <c r="AH447" s="65"/>
      <c r="AI447" s="65"/>
      <c r="AJ447" s="65"/>
      <c r="AK447" s="65"/>
      <c r="AL447" s="65"/>
      <c r="AM447" s="65"/>
      <c r="AN447" s="65"/>
      <c r="AO447" s="65"/>
      <c r="AP447" s="65"/>
    </row>
    <row r="448" spans="1:42" ht="12.75" customHeight="1" x14ac:dyDescent="0.25">
      <c r="A448" s="65"/>
      <c r="B448" s="65"/>
      <c r="C448" s="66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  <c r="AK448" s="65"/>
      <c r="AL448" s="65"/>
      <c r="AM448" s="65"/>
      <c r="AN448" s="65"/>
      <c r="AO448" s="65"/>
      <c r="AP448" s="65"/>
    </row>
    <row r="449" spans="1:42" ht="12.75" customHeight="1" x14ac:dyDescent="0.25">
      <c r="A449" s="65"/>
      <c r="B449" s="65"/>
      <c r="C449" s="66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  <c r="AE449" s="65"/>
      <c r="AF449" s="65"/>
      <c r="AG449" s="65"/>
      <c r="AH449" s="65"/>
      <c r="AI449" s="65"/>
      <c r="AJ449" s="65"/>
      <c r="AK449" s="65"/>
      <c r="AL449" s="65"/>
      <c r="AM449" s="65"/>
      <c r="AN449" s="65"/>
      <c r="AO449" s="65"/>
      <c r="AP449" s="65"/>
    </row>
    <row r="450" spans="1:42" ht="12.75" customHeight="1" x14ac:dyDescent="0.25">
      <c r="A450" s="65"/>
      <c r="B450" s="65"/>
      <c r="C450" s="66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  <c r="AK450" s="65"/>
      <c r="AL450" s="65"/>
      <c r="AM450" s="65"/>
      <c r="AN450" s="65"/>
      <c r="AO450" s="65"/>
      <c r="AP450" s="65"/>
    </row>
    <row r="451" spans="1:42" ht="12.75" customHeight="1" x14ac:dyDescent="0.25">
      <c r="A451" s="65"/>
      <c r="B451" s="65"/>
      <c r="C451" s="66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65"/>
      <c r="AG451" s="65"/>
      <c r="AH451" s="65"/>
      <c r="AI451" s="65"/>
      <c r="AJ451" s="65"/>
      <c r="AK451" s="65"/>
      <c r="AL451" s="65"/>
      <c r="AM451" s="65"/>
      <c r="AN451" s="65"/>
      <c r="AO451" s="65"/>
      <c r="AP451" s="65"/>
    </row>
    <row r="452" spans="1:42" ht="12.75" customHeight="1" x14ac:dyDescent="0.25">
      <c r="A452" s="65"/>
      <c r="B452" s="65"/>
      <c r="C452" s="66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  <c r="AJ452" s="65"/>
      <c r="AK452" s="65"/>
      <c r="AL452" s="65"/>
      <c r="AM452" s="65"/>
      <c r="AN452" s="65"/>
      <c r="AO452" s="65"/>
      <c r="AP452" s="65"/>
    </row>
    <row r="453" spans="1:42" ht="12.75" customHeight="1" x14ac:dyDescent="0.25">
      <c r="A453" s="65"/>
      <c r="B453" s="65"/>
      <c r="C453" s="66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  <c r="AE453" s="65"/>
      <c r="AF453" s="65"/>
      <c r="AG453" s="65"/>
      <c r="AH453" s="65"/>
      <c r="AI453" s="65"/>
      <c r="AJ453" s="65"/>
      <c r="AK453" s="65"/>
      <c r="AL453" s="65"/>
      <c r="AM453" s="65"/>
      <c r="AN453" s="65"/>
      <c r="AO453" s="65"/>
      <c r="AP453" s="65"/>
    </row>
    <row r="454" spans="1:42" ht="12.75" customHeight="1" x14ac:dyDescent="0.25">
      <c r="A454" s="65"/>
      <c r="B454" s="65"/>
      <c r="C454" s="66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65"/>
      <c r="AF454" s="65"/>
      <c r="AG454" s="65"/>
      <c r="AH454" s="65"/>
      <c r="AI454" s="65"/>
      <c r="AJ454" s="65"/>
      <c r="AK454" s="65"/>
      <c r="AL454" s="65"/>
      <c r="AM454" s="65"/>
      <c r="AN454" s="65"/>
      <c r="AO454" s="65"/>
      <c r="AP454" s="65"/>
    </row>
    <row r="455" spans="1:42" ht="12.75" customHeight="1" x14ac:dyDescent="0.25">
      <c r="A455" s="65"/>
      <c r="B455" s="65"/>
      <c r="C455" s="66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  <c r="AE455" s="65"/>
      <c r="AF455" s="65"/>
      <c r="AG455" s="65"/>
      <c r="AH455" s="65"/>
      <c r="AI455" s="65"/>
      <c r="AJ455" s="65"/>
      <c r="AK455" s="65"/>
      <c r="AL455" s="65"/>
      <c r="AM455" s="65"/>
      <c r="AN455" s="65"/>
      <c r="AO455" s="65"/>
      <c r="AP455" s="65"/>
    </row>
    <row r="456" spans="1:42" ht="12.75" customHeight="1" x14ac:dyDescent="0.25">
      <c r="A456" s="65"/>
      <c r="B456" s="65"/>
      <c r="C456" s="66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65"/>
      <c r="AF456" s="65"/>
      <c r="AG456" s="65"/>
      <c r="AH456" s="65"/>
      <c r="AI456" s="65"/>
      <c r="AJ456" s="65"/>
      <c r="AK456" s="65"/>
      <c r="AL456" s="65"/>
      <c r="AM456" s="65"/>
      <c r="AN456" s="65"/>
      <c r="AO456" s="65"/>
      <c r="AP456" s="65"/>
    </row>
    <row r="457" spans="1:42" ht="12.75" customHeight="1" x14ac:dyDescent="0.25">
      <c r="A457" s="65"/>
      <c r="B457" s="65"/>
      <c r="C457" s="66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  <c r="AE457" s="65"/>
      <c r="AF457" s="65"/>
      <c r="AG457" s="65"/>
      <c r="AH457" s="65"/>
      <c r="AI457" s="65"/>
      <c r="AJ457" s="65"/>
      <c r="AK457" s="65"/>
      <c r="AL457" s="65"/>
      <c r="AM457" s="65"/>
      <c r="AN457" s="65"/>
      <c r="AO457" s="65"/>
      <c r="AP457" s="65"/>
    </row>
    <row r="458" spans="1:42" ht="12.75" customHeight="1" x14ac:dyDescent="0.25">
      <c r="A458" s="65"/>
      <c r="B458" s="65"/>
      <c r="C458" s="66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  <c r="AJ458" s="65"/>
      <c r="AK458" s="65"/>
      <c r="AL458" s="65"/>
      <c r="AM458" s="65"/>
      <c r="AN458" s="65"/>
      <c r="AO458" s="65"/>
      <c r="AP458" s="65"/>
    </row>
    <row r="459" spans="1:42" ht="12.75" customHeight="1" x14ac:dyDescent="0.25">
      <c r="A459" s="65"/>
      <c r="B459" s="65"/>
      <c r="C459" s="66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  <c r="AE459" s="65"/>
      <c r="AF459" s="65"/>
      <c r="AG459" s="65"/>
      <c r="AH459" s="65"/>
      <c r="AI459" s="65"/>
      <c r="AJ459" s="65"/>
      <c r="AK459" s="65"/>
      <c r="AL459" s="65"/>
      <c r="AM459" s="65"/>
      <c r="AN459" s="65"/>
      <c r="AO459" s="65"/>
      <c r="AP459" s="65"/>
    </row>
    <row r="460" spans="1:42" ht="12.75" customHeight="1" x14ac:dyDescent="0.25">
      <c r="A460" s="65"/>
      <c r="B460" s="65"/>
      <c r="C460" s="66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  <c r="AJ460" s="65"/>
      <c r="AK460" s="65"/>
      <c r="AL460" s="65"/>
      <c r="AM460" s="65"/>
      <c r="AN460" s="65"/>
      <c r="AO460" s="65"/>
      <c r="AP460" s="65"/>
    </row>
    <row r="461" spans="1:42" ht="12.75" customHeight="1" x14ac:dyDescent="0.25">
      <c r="A461" s="65"/>
      <c r="B461" s="65"/>
      <c r="C461" s="66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  <c r="AE461" s="65"/>
      <c r="AF461" s="65"/>
      <c r="AG461" s="65"/>
      <c r="AH461" s="65"/>
      <c r="AI461" s="65"/>
      <c r="AJ461" s="65"/>
      <c r="AK461" s="65"/>
      <c r="AL461" s="65"/>
      <c r="AM461" s="65"/>
      <c r="AN461" s="65"/>
      <c r="AO461" s="65"/>
      <c r="AP461" s="65"/>
    </row>
    <row r="462" spans="1:42" ht="12.75" customHeight="1" x14ac:dyDescent="0.25">
      <c r="A462" s="65"/>
      <c r="B462" s="65"/>
      <c r="C462" s="66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  <c r="AJ462" s="65"/>
      <c r="AK462" s="65"/>
      <c r="AL462" s="65"/>
      <c r="AM462" s="65"/>
      <c r="AN462" s="65"/>
      <c r="AO462" s="65"/>
      <c r="AP462" s="65"/>
    </row>
    <row r="463" spans="1:42" ht="12.75" customHeight="1" x14ac:dyDescent="0.25">
      <c r="A463" s="65"/>
      <c r="B463" s="65"/>
      <c r="C463" s="66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  <c r="AE463" s="65"/>
      <c r="AF463" s="65"/>
      <c r="AG463" s="65"/>
      <c r="AH463" s="65"/>
      <c r="AI463" s="65"/>
      <c r="AJ463" s="65"/>
      <c r="AK463" s="65"/>
      <c r="AL463" s="65"/>
      <c r="AM463" s="65"/>
      <c r="AN463" s="65"/>
      <c r="AO463" s="65"/>
      <c r="AP463" s="65"/>
    </row>
    <row r="464" spans="1:42" ht="12.75" customHeight="1" x14ac:dyDescent="0.25">
      <c r="A464" s="65"/>
      <c r="B464" s="65"/>
      <c r="C464" s="66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65"/>
      <c r="AF464" s="65"/>
      <c r="AG464" s="65"/>
      <c r="AH464" s="65"/>
      <c r="AI464" s="65"/>
      <c r="AJ464" s="65"/>
      <c r="AK464" s="65"/>
      <c r="AL464" s="65"/>
      <c r="AM464" s="65"/>
      <c r="AN464" s="65"/>
      <c r="AO464" s="65"/>
      <c r="AP464" s="65"/>
    </row>
    <row r="465" spans="1:42" ht="12.75" customHeight="1" x14ac:dyDescent="0.25">
      <c r="A465" s="65"/>
      <c r="B465" s="65"/>
      <c r="C465" s="66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  <c r="AE465" s="65"/>
      <c r="AF465" s="65"/>
      <c r="AG465" s="65"/>
      <c r="AH465" s="65"/>
      <c r="AI465" s="65"/>
      <c r="AJ465" s="65"/>
      <c r="AK465" s="65"/>
      <c r="AL465" s="65"/>
      <c r="AM465" s="65"/>
      <c r="AN465" s="65"/>
      <c r="AO465" s="65"/>
      <c r="AP465" s="65"/>
    </row>
    <row r="466" spans="1:42" ht="12.75" customHeight="1" x14ac:dyDescent="0.25">
      <c r="A466" s="65"/>
      <c r="B466" s="65"/>
      <c r="C466" s="66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  <c r="AJ466" s="65"/>
      <c r="AK466" s="65"/>
      <c r="AL466" s="65"/>
      <c r="AM466" s="65"/>
      <c r="AN466" s="65"/>
      <c r="AO466" s="65"/>
      <c r="AP466" s="65"/>
    </row>
    <row r="467" spans="1:42" ht="12.75" customHeight="1" x14ac:dyDescent="0.25">
      <c r="A467" s="65"/>
      <c r="B467" s="65"/>
      <c r="C467" s="66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  <c r="AE467" s="65"/>
      <c r="AF467" s="65"/>
      <c r="AG467" s="65"/>
      <c r="AH467" s="65"/>
      <c r="AI467" s="65"/>
      <c r="AJ467" s="65"/>
      <c r="AK467" s="65"/>
      <c r="AL467" s="65"/>
      <c r="AM467" s="65"/>
      <c r="AN467" s="65"/>
      <c r="AO467" s="65"/>
      <c r="AP467" s="65"/>
    </row>
    <row r="468" spans="1:42" ht="12.75" customHeight="1" x14ac:dyDescent="0.25">
      <c r="A468" s="65"/>
      <c r="B468" s="65"/>
      <c r="C468" s="66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  <c r="AJ468" s="65"/>
      <c r="AK468" s="65"/>
      <c r="AL468" s="65"/>
      <c r="AM468" s="65"/>
      <c r="AN468" s="65"/>
      <c r="AO468" s="65"/>
      <c r="AP468" s="65"/>
    </row>
    <row r="469" spans="1:42" ht="12.75" customHeight="1" x14ac:dyDescent="0.25">
      <c r="A469" s="65"/>
      <c r="B469" s="65"/>
      <c r="C469" s="66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  <c r="AD469" s="65"/>
      <c r="AE469" s="65"/>
      <c r="AF469" s="65"/>
      <c r="AG469" s="65"/>
      <c r="AH469" s="65"/>
      <c r="AI469" s="65"/>
      <c r="AJ469" s="65"/>
      <c r="AK469" s="65"/>
      <c r="AL469" s="65"/>
      <c r="AM469" s="65"/>
      <c r="AN469" s="65"/>
      <c r="AO469" s="65"/>
      <c r="AP469" s="65"/>
    </row>
    <row r="470" spans="1:42" ht="12.75" customHeight="1" x14ac:dyDescent="0.25">
      <c r="A470" s="65"/>
      <c r="B470" s="65"/>
      <c r="C470" s="66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  <c r="AE470" s="65"/>
      <c r="AF470" s="65"/>
      <c r="AG470" s="65"/>
      <c r="AH470" s="65"/>
      <c r="AI470" s="65"/>
      <c r="AJ470" s="65"/>
      <c r="AK470" s="65"/>
      <c r="AL470" s="65"/>
      <c r="AM470" s="65"/>
      <c r="AN470" s="65"/>
      <c r="AO470" s="65"/>
      <c r="AP470" s="65"/>
    </row>
    <row r="471" spans="1:42" ht="12.75" customHeight="1" x14ac:dyDescent="0.25">
      <c r="A471" s="65"/>
      <c r="B471" s="65"/>
      <c r="C471" s="66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  <c r="AD471" s="65"/>
      <c r="AE471" s="65"/>
      <c r="AF471" s="65"/>
      <c r="AG471" s="65"/>
      <c r="AH471" s="65"/>
      <c r="AI471" s="65"/>
      <c r="AJ471" s="65"/>
      <c r="AK471" s="65"/>
      <c r="AL471" s="65"/>
      <c r="AM471" s="65"/>
      <c r="AN471" s="65"/>
      <c r="AO471" s="65"/>
      <c r="AP471" s="65"/>
    </row>
    <row r="472" spans="1:42" ht="12.75" customHeight="1" x14ac:dyDescent="0.25">
      <c r="A472" s="65"/>
      <c r="B472" s="65"/>
      <c r="C472" s="66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  <c r="AE472" s="65"/>
      <c r="AF472" s="65"/>
      <c r="AG472" s="65"/>
      <c r="AH472" s="65"/>
      <c r="AI472" s="65"/>
      <c r="AJ472" s="65"/>
      <c r="AK472" s="65"/>
      <c r="AL472" s="65"/>
      <c r="AM472" s="65"/>
      <c r="AN472" s="65"/>
      <c r="AO472" s="65"/>
      <c r="AP472" s="65"/>
    </row>
    <row r="473" spans="1:42" ht="12.75" customHeight="1" x14ac:dyDescent="0.25">
      <c r="A473" s="65"/>
      <c r="B473" s="65"/>
      <c r="C473" s="66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  <c r="AD473" s="65"/>
      <c r="AE473" s="65"/>
      <c r="AF473" s="65"/>
      <c r="AG473" s="65"/>
      <c r="AH473" s="65"/>
      <c r="AI473" s="65"/>
      <c r="AJ473" s="65"/>
      <c r="AK473" s="65"/>
      <c r="AL473" s="65"/>
      <c r="AM473" s="65"/>
      <c r="AN473" s="65"/>
      <c r="AO473" s="65"/>
      <c r="AP473" s="65"/>
    </row>
    <row r="474" spans="1:42" ht="12.75" customHeight="1" x14ac:dyDescent="0.25">
      <c r="A474" s="65"/>
      <c r="B474" s="65"/>
      <c r="C474" s="66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  <c r="AJ474" s="65"/>
      <c r="AK474" s="65"/>
      <c r="AL474" s="65"/>
      <c r="AM474" s="65"/>
      <c r="AN474" s="65"/>
      <c r="AO474" s="65"/>
      <c r="AP474" s="65"/>
    </row>
    <row r="475" spans="1:42" ht="12.75" customHeight="1" x14ac:dyDescent="0.25">
      <c r="A475" s="65"/>
      <c r="B475" s="65"/>
      <c r="C475" s="66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  <c r="AD475" s="65"/>
      <c r="AE475" s="65"/>
      <c r="AF475" s="65"/>
      <c r="AG475" s="65"/>
      <c r="AH475" s="65"/>
      <c r="AI475" s="65"/>
      <c r="AJ475" s="65"/>
      <c r="AK475" s="65"/>
      <c r="AL475" s="65"/>
      <c r="AM475" s="65"/>
      <c r="AN475" s="65"/>
      <c r="AO475" s="65"/>
      <c r="AP475" s="65"/>
    </row>
    <row r="476" spans="1:42" ht="12.75" customHeight="1" x14ac:dyDescent="0.25">
      <c r="A476" s="65"/>
      <c r="B476" s="65"/>
      <c r="C476" s="66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  <c r="AJ476" s="65"/>
      <c r="AK476" s="65"/>
      <c r="AL476" s="65"/>
      <c r="AM476" s="65"/>
      <c r="AN476" s="65"/>
      <c r="AO476" s="65"/>
      <c r="AP476" s="65"/>
    </row>
    <row r="477" spans="1:42" ht="12.75" customHeight="1" x14ac:dyDescent="0.25">
      <c r="A477" s="65"/>
      <c r="B477" s="65"/>
      <c r="C477" s="66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  <c r="AE477" s="65"/>
      <c r="AF477" s="65"/>
      <c r="AG477" s="65"/>
      <c r="AH477" s="65"/>
      <c r="AI477" s="65"/>
      <c r="AJ477" s="65"/>
      <c r="AK477" s="65"/>
      <c r="AL477" s="65"/>
      <c r="AM477" s="65"/>
      <c r="AN477" s="65"/>
      <c r="AO477" s="65"/>
      <c r="AP477" s="65"/>
    </row>
    <row r="478" spans="1:42" ht="12.75" customHeight="1" x14ac:dyDescent="0.25">
      <c r="A478" s="65"/>
      <c r="B478" s="65"/>
      <c r="C478" s="66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  <c r="AE478" s="65"/>
      <c r="AF478" s="65"/>
      <c r="AG478" s="65"/>
      <c r="AH478" s="65"/>
      <c r="AI478" s="65"/>
      <c r="AJ478" s="65"/>
      <c r="AK478" s="65"/>
      <c r="AL478" s="65"/>
      <c r="AM478" s="65"/>
      <c r="AN478" s="65"/>
      <c r="AO478" s="65"/>
      <c r="AP478" s="65"/>
    </row>
    <row r="479" spans="1:42" ht="12.75" customHeight="1" x14ac:dyDescent="0.25">
      <c r="A479" s="65"/>
      <c r="B479" s="65"/>
      <c r="C479" s="66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  <c r="AD479" s="65"/>
      <c r="AE479" s="65"/>
      <c r="AF479" s="65"/>
      <c r="AG479" s="65"/>
      <c r="AH479" s="65"/>
      <c r="AI479" s="65"/>
      <c r="AJ479" s="65"/>
      <c r="AK479" s="65"/>
      <c r="AL479" s="65"/>
      <c r="AM479" s="65"/>
      <c r="AN479" s="65"/>
      <c r="AO479" s="65"/>
      <c r="AP479" s="65"/>
    </row>
    <row r="480" spans="1:42" ht="12.75" customHeight="1" x14ac:dyDescent="0.25">
      <c r="A480" s="65"/>
      <c r="B480" s="65"/>
      <c r="C480" s="66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  <c r="AE480" s="65"/>
      <c r="AF480" s="65"/>
      <c r="AG480" s="65"/>
      <c r="AH480" s="65"/>
      <c r="AI480" s="65"/>
      <c r="AJ480" s="65"/>
      <c r="AK480" s="65"/>
      <c r="AL480" s="65"/>
      <c r="AM480" s="65"/>
      <c r="AN480" s="65"/>
      <c r="AO480" s="65"/>
      <c r="AP480" s="65"/>
    </row>
    <row r="481" spans="1:42" ht="12.75" customHeight="1" x14ac:dyDescent="0.25">
      <c r="A481" s="65"/>
      <c r="B481" s="65"/>
      <c r="C481" s="66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  <c r="AD481" s="65"/>
      <c r="AE481" s="65"/>
      <c r="AF481" s="65"/>
      <c r="AG481" s="65"/>
      <c r="AH481" s="65"/>
      <c r="AI481" s="65"/>
      <c r="AJ481" s="65"/>
      <c r="AK481" s="65"/>
      <c r="AL481" s="65"/>
      <c r="AM481" s="65"/>
      <c r="AN481" s="65"/>
      <c r="AO481" s="65"/>
      <c r="AP481" s="65"/>
    </row>
    <row r="482" spans="1:42" ht="12.75" customHeight="1" x14ac:dyDescent="0.25">
      <c r="A482" s="65"/>
      <c r="B482" s="65"/>
      <c r="C482" s="66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  <c r="AE482" s="65"/>
      <c r="AF482" s="65"/>
      <c r="AG482" s="65"/>
      <c r="AH482" s="65"/>
      <c r="AI482" s="65"/>
      <c r="AJ482" s="65"/>
      <c r="AK482" s="65"/>
      <c r="AL482" s="65"/>
      <c r="AM482" s="65"/>
      <c r="AN482" s="65"/>
      <c r="AO482" s="65"/>
      <c r="AP482" s="65"/>
    </row>
    <row r="483" spans="1:42" ht="12.75" customHeight="1" x14ac:dyDescent="0.25">
      <c r="A483" s="65"/>
      <c r="B483" s="65"/>
      <c r="C483" s="66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  <c r="AE483" s="65"/>
      <c r="AF483" s="65"/>
      <c r="AG483" s="65"/>
      <c r="AH483" s="65"/>
      <c r="AI483" s="65"/>
      <c r="AJ483" s="65"/>
      <c r="AK483" s="65"/>
      <c r="AL483" s="65"/>
      <c r="AM483" s="65"/>
      <c r="AN483" s="65"/>
      <c r="AO483" s="65"/>
      <c r="AP483" s="65"/>
    </row>
    <row r="484" spans="1:42" ht="12.75" customHeight="1" x14ac:dyDescent="0.25">
      <c r="A484" s="65"/>
      <c r="B484" s="65"/>
      <c r="C484" s="66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  <c r="AJ484" s="65"/>
      <c r="AK484" s="65"/>
      <c r="AL484" s="65"/>
      <c r="AM484" s="65"/>
      <c r="AN484" s="65"/>
      <c r="AO484" s="65"/>
      <c r="AP484" s="65"/>
    </row>
    <row r="485" spans="1:42" ht="12.75" customHeight="1" x14ac:dyDescent="0.25">
      <c r="A485" s="65"/>
      <c r="B485" s="65"/>
      <c r="C485" s="66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  <c r="AD485" s="65"/>
      <c r="AE485" s="65"/>
      <c r="AF485" s="65"/>
      <c r="AG485" s="65"/>
      <c r="AH485" s="65"/>
      <c r="AI485" s="65"/>
      <c r="AJ485" s="65"/>
      <c r="AK485" s="65"/>
      <c r="AL485" s="65"/>
      <c r="AM485" s="65"/>
      <c r="AN485" s="65"/>
      <c r="AO485" s="65"/>
      <c r="AP485" s="65"/>
    </row>
    <row r="486" spans="1:42" ht="12.75" customHeight="1" x14ac:dyDescent="0.25">
      <c r="A486" s="65"/>
      <c r="B486" s="65"/>
      <c r="C486" s="66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  <c r="AE486" s="65"/>
      <c r="AF486" s="65"/>
      <c r="AG486" s="65"/>
      <c r="AH486" s="65"/>
      <c r="AI486" s="65"/>
      <c r="AJ486" s="65"/>
      <c r="AK486" s="65"/>
      <c r="AL486" s="65"/>
      <c r="AM486" s="65"/>
      <c r="AN486" s="65"/>
      <c r="AO486" s="65"/>
      <c r="AP486" s="65"/>
    </row>
    <row r="487" spans="1:42" ht="12.75" customHeight="1" x14ac:dyDescent="0.25">
      <c r="A487" s="65"/>
      <c r="B487" s="65"/>
      <c r="C487" s="66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  <c r="AD487" s="65"/>
      <c r="AE487" s="65"/>
      <c r="AF487" s="65"/>
      <c r="AG487" s="65"/>
      <c r="AH487" s="65"/>
      <c r="AI487" s="65"/>
      <c r="AJ487" s="65"/>
      <c r="AK487" s="65"/>
      <c r="AL487" s="65"/>
      <c r="AM487" s="65"/>
      <c r="AN487" s="65"/>
      <c r="AO487" s="65"/>
      <c r="AP487" s="65"/>
    </row>
    <row r="488" spans="1:42" ht="12.75" customHeight="1" x14ac:dyDescent="0.25">
      <c r="A488" s="65"/>
      <c r="B488" s="65"/>
      <c r="C488" s="66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  <c r="AJ488" s="65"/>
      <c r="AK488" s="65"/>
      <c r="AL488" s="65"/>
      <c r="AM488" s="65"/>
      <c r="AN488" s="65"/>
      <c r="AO488" s="65"/>
      <c r="AP488" s="65"/>
    </row>
    <row r="489" spans="1:42" ht="12.75" customHeight="1" x14ac:dyDescent="0.25">
      <c r="A489" s="65"/>
      <c r="B489" s="65"/>
      <c r="C489" s="66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  <c r="AE489" s="65"/>
      <c r="AF489" s="65"/>
      <c r="AG489" s="65"/>
      <c r="AH489" s="65"/>
      <c r="AI489" s="65"/>
      <c r="AJ489" s="65"/>
      <c r="AK489" s="65"/>
      <c r="AL489" s="65"/>
      <c r="AM489" s="65"/>
      <c r="AN489" s="65"/>
      <c r="AO489" s="65"/>
      <c r="AP489" s="65"/>
    </row>
    <row r="490" spans="1:42" ht="12.75" customHeight="1" x14ac:dyDescent="0.25">
      <c r="A490" s="65"/>
      <c r="B490" s="65"/>
      <c r="C490" s="66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  <c r="AJ490" s="65"/>
      <c r="AK490" s="65"/>
      <c r="AL490" s="65"/>
      <c r="AM490" s="65"/>
      <c r="AN490" s="65"/>
      <c r="AO490" s="65"/>
      <c r="AP490" s="65"/>
    </row>
    <row r="491" spans="1:42" ht="12.75" customHeight="1" x14ac:dyDescent="0.25">
      <c r="A491" s="65"/>
      <c r="B491" s="65"/>
      <c r="C491" s="66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  <c r="AE491" s="65"/>
      <c r="AF491" s="65"/>
      <c r="AG491" s="65"/>
      <c r="AH491" s="65"/>
      <c r="AI491" s="65"/>
      <c r="AJ491" s="65"/>
      <c r="AK491" s="65"/>
      <c r="AL491" s="65"/>
      <c r="AM491" s="65"/>
      <c r="AN491" s="65"/>
      <c r="AO491" s="65"/>
      <c r="AP491" s="65"/>
    </row>
    <row r="492" spans="1:42" ht="12.75" customHeight="1" x14ac:dyDescent="0.25">
      <c r="A492" s="65"/>
      <c r="B492" s="65"/>
      <c r="C492" s="66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  <c r="AJ492" s="65"/>
      <c r="AK492" s="65"/>
      <c r="AL492" s="65"/>
      <c r="AM492" s="65"/>
      <c r="AN492" s="65"/>
      <c r="AO492" s="65"/>
      <c r="AP492" s="65"/>
    </row>
    <row r="493" spans="1:42" ht="12.75" customHeight="1" x14ac:dyDescent="0.25">
      <c r="A493" s="65"/>
      <c r="B493" s="65"/>
      <c r="C493" s="66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  <c r="AE493" s="65"/>
      <c r="AF493" s="65"/>
      <c r="AG493" s="65"/>
      <c r="AH493" s="65"/>
      <c r="AI493" s="65"/>
      <c r="AJ493" s="65"/>
      <c r="AK493" s="65"/>
      <c r="AL493" s="65"/>
      <c r="AM493" s="65"/>
      <c r="AN493" s="65"/>
      <c r="AO493" s="65"/>
      <c r="AP493" s="65"/>
    </row>
    <row r="494" spans="1:42" ht="12.75" customHeight="1" x14ac:dyDescent="0.25">
      <c r="A494" s="65"/>
      <c r="B494" s="65"/>
      <c r="C494" s="66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  <c r="AJ494" s="65"/>
      <c r="AK494" s="65"/>
      <c r="AL494" s="65"/>
      <c r="AM494" s="65"/>
      <c r="AN494" s="65"/>
      <c r="AO494" s="65"/>
      <c r="AP494" s="65"/>
    </row>
    <row r="495" spans="1:42" ht="12.75" customHeight="1" x14ac:dyDescent="0.25">
      <c r="A495" s="65"/>
      <c r="B495" s="65"/>
      <c r="C495" s="66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  <c r="AE495" s="65"/>
      <c r="AF495" s="65"/>
      <c r="AG495" s="65"/>
      <c r="AH495" s="65"/>
      <c r="AI495" s="65"/>
      <c r="AJ495" s="65"/>
      <c r="AK495" s="65"/>
      <c r="AL495" s="65"/>
      <c r="AM495" s="65"/>
      <c r="AN495" s="65"/>
      <c r="AO495" s="65"/>
      <c r="AP495" s="65"/>
    </row>
    <row r="496" spans="1:42" ht="12.75" customHeight="1" x14ac:dyDescent="0.25">
      <c r="A496" s="65"/>
      <c r="B496" s="65"/>
      <c r="C496" s="66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  <c r="AJ496" s="65"/>
      <c r="AK496" s="65"/>
      <c r="AL496" s="65"/>
      <c r="AM496" s="65"/>
      <c r="AN496" s="65"/>
      <c r="AO496" s="65"/>
      <c r="AP496" s="65"/>
    </row>
    <row r="497" spans="1:42" ht="12.75" customHeight="1" x14ac:dyDescent="0.25">
      <c r="A497" s="65"/>
      <c r="B497" s="65"/>
      <c r="C497" s="66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  <c r="AE497" s="65"/>
      <c r="AF497" s="65"/>
      <c r="AG497" s="65"/>
      <c r="AH497" s="65"/>
      <c r="AI497" s="65"/>
      <c r="AJ497" s="65"/>
      <c r="AK497" s="65"/>
      <c r="AL497" s="65"/>
      <c r="AM497" s="65"/>
      <c r="AN497" s="65"/>
      <c r="AO497" s="65"/>
      <c r="AP497" s="65"/>
    </row>
    <row r="498" spans="1:42" ht="12.75" customHeight="1" x14ac:dyDescent="0.25">
      <c r="A498" s="65"/>
      <c r="B498" s="65"/>
      <c r="C498" s="66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  <c r="AJ498" s="65"/>
      <c r="AK498" s="65"/>
      <c r="AL498" s="65"/>
      <c r="AM498" s="65"/>
      <c r="AN498" s="65"/>
      <c r="AO498" s="65"/>
      <c r="AP498" s="65"/>
    </row>
    <row r="499" spans="1:42" ht="12.75" customHeight="1" x14ac:dyDescent="0.25">
      <c r="A499" s="65"/>
      <c r="B499" s="65"/>
      <c r="C499" s="66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65"/>
      <c r="AF499" s="65"/>
      <c r="AG499" s="65"/>
      <c r="AH499" s="65"/>
      <c r="AI499" s="65"/>
      <c r="AJ499" s="65"/>
      <c r="AK499" s="65"/>
      <c r="AL499" s="65"/>
      <c r="AM499" s="65"/>
      <c r="AN499" s="65"/>
      <c r="AO499" s="65"/>
      <c r="AP499" s="65"/>
    </row>
    <row r="500" spans="1:42" ht="12.75" customHeight="1" x14ac:dyDescent="0.25">
      <c r="A500" s="65"/>
      <c r="B500" s="65"/>
      <c r="C500" s="66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  <c r="AJ500" s="65"/>
      <c r="AK500" s="65"/>
      <c r="AL500" s="65"/>
      <c r="AM500" s="65"/>
      <c r="AN500" s="65"/>
      <c r="AO500" s="65"/>
      <c r="AP500" s="65"/>
    </row>
    <row r="501" spans="1:42" ht="12.75" customHeight="1" x14ac:dyDescent="0.25">
      <c r="A501" s="65"/>
      <c r="B501" s="65"/>
      <c r="C501" s="66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65"/>
      <c r="AF501" s="65"/>
      <c r="AG501" s="65"/>
      <c r="AH501" s="65"/>
      <c r="AI501" s="65"/>
      <c r="AJ501" s="65"/>
      <c r="AK501" s="65"/>
      <c r="AL501" s="65"/>
      <c r="AM501" s="65"/>
      <c r="AN501" s="65"/>
      <c r="AO501" s="65"/>
      <c r="AP501" s="65"/>
    </row>
    <row r="502" spans="1:42" ht="12.75" customHeight="1" x14ac:dyDescent="0.25">
      <c r="A502" s="65"/>
      <c r="B502" s="65"/>
      <c r="C502" s="66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  <c r="AK502" s="65"/>
      <c r="AL502" s="65"/>
      <c r="AM502" s="65"/>
      <c r="AN502" s="65"/>
      <c r="AO502" s="65"/>
      <c r="AP502" s="65"/>
    </row>
    <row r="503" spans="1:42" ht="12.75" customHeight="1" x14ac:dyDescent="0.25">
      <c r="A503" s="65"/>
      <c r="B503" s="65"/>
      <c r="C503" s="66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65"/>
      <c r="AF503" s="65"/>
      <c r="AG503" s="65"/>
      <c r="AH503" s="65"/>
      <c r="AI503" s="65"/>
      <c r="AJ503" s="65"/>
      <c r="AK503" s="65"/>
      <c r="AL503" s="65"/>
      <c r="AM503" s="65"/>
      <c r="AN503" s="65"/>
      <c r="AO503" s="65"/>
      <c r="AP503" s="65"/>
    </row>
    <row r="504" spans="1:42" ht="12.75" customHeight="1" x14ac:dyDescent="0.25">
      <c r="A504" s="65"/>
      <c r="B504" s="65"/>
      <c r="C504" s="66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  <c r="AK504" s="65"/>
      <c r="AL504" s="65"/>
      <c r="AM504" s="65"/>
      <c r="AN504" s="65"/>
      <c r="AO504" s="65"/>
      <c r="AP504" s="65"/>
    </row>
    <row r="505" spans="1:42" ht="12.75" customHeight="1" x14ac:dyDescent="0.25">
      <c r="A505" s="65"/>
      <c r="B505" s="65"/>
      <c r="C505" s="66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65"/>
      <c r="AJ505" s="65"/>
      <c r="AK505" s="65"/>
      <c r="AL505" s="65"/>
      <c r="AM505" s="65"/>
      <c r="AN505" s="65"/>
      <c r="AO505" s="65"/>
      <c r="AP505" s="65"/>
    </row>
    <row r="506" spans="1:42" ht="12.75" customHeight="1" x14ac:dyDescent="0.25">
      <c r="A506" s="65"/>
      <c r="B506" s="65"/>
      <c r="C506" s="66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5"/>
      <c r="AK506" s="65"/>
      <c r="AL506" s="65"/>
      <c r="AM506" s="65"/>
      <c r="AN506" s="65"/>
      <c r="AO506" s="65"/>
      <c r="AP506" s="65"/>
    </row>
    <row r="507" spans="1:42" ht="12.75" customHeight="1" x14ac:dyDescent="0.25">
      <c r="A507" s="65"/>
      <c r="B507" s="65"/>
      <c r="C507" s="66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65"/>
      <c r="AF507" s="65"/>
      <c r="AG507" s="65"/>
      <c r="AH507" s="65"/>
      <c r="AI507" s="65"/>
      <c r="AJ507" s="65"/>
      <c r="AK507" s="65"/>
      <c r="AL507" s="65"/>
      <c r="AM507" s="65"/>
      <c r="AN507" s="65"/>
      <c r="AO507" s="65"/>
      <c r="AP507" s="65"/>
    </row>
    <row r="508" spans="1:42" ht="12.75" customHeight="1" x14ac:dyDescent="0.25">
      <c r="A508" s="65"/>
      <c r="B508" s="65"/>
      <c r="C508" s="66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5"/>
      <c r="AK508" s="65"/>
      <c r="AL508" s="65"/>
      <c r="AM508" s="65"/>
      <c r="AN508" s="65"/>
      <c r="AO508" s="65"/>
      <c r="AP508" s="65"/>
    </row>
    <row r="509" spans="1:42" ht="12.75" customHeight="1" x14ac:dyDescent="0.25">
      <c r="A509" s="65"/>
      <c r="B509" s="65"/>
      <c r="C509" s="66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65"/>
      <c r="AJ509" s="65"/>
      <c r="AK509" s="65"/>
      <c r="AL509" s="65"/>
      <c r="AM509" s="65"/>
      <c r="AN509" s="65"/>
      <c r="AO509" s="65"/>
      <c r="AP509" s="65"/>
    </row>
    <row r="510" spans="1:42" ht="12.75" customHeight="1" x14ac:dyDescent="0.25">
      <c r="A510" s="65"/>
      <c r="B510" s="65"/>
      <c r="C510" s="66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5"/>
      <c r="AK510" s="65"/>
      <c r="AL510" s="65"/>
      <c r="AM510" s="65"/>
      <c r="AN510" s="65"/>
      <c r="AO510" s="65"/>
      <c r="AP510" s="65"/>
    </row>
    <row r="511" spans="1:42" ht="12.75" customHeight="1" x14ac:dyDescent="0.25">
      <c r="A511" s="65"/>
      <c r="B511" s="65"/>
      <c r="C511" s="66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  <c r="AJ511" s="65"/>
      <c r="AK511" s="65"/>
      <c r="AL511" s="65"/>
      <c r="AM511" s="65"/>
      <c r="AN511" s="65"/>
      <c r="AO511" s="65"/>
      <c r="AP511" s="65"/>
    </row>
    <row r="512" spans="1:42" ht="12.75" customHeight="1" x14ac:dyDescent="0.25">
      <c r="A512" s="65"/>
      <c r="B512" s="65"/>
      <c r="C512" s="66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  <c r="AJ512" s="65"/>
      <c r="AK512" s="65"/>
      <c r="AL512" s="65"/>
      <c r="AM512" s="65"/>
      <c r="AN512" s="65"/>
      <c r="AO512" s="65"/>
      <c r="AP512" s="65"/>
    </row>
    <row r="513" spans="1:42" ht="12.75" customHeight="1" x14ac:dyDescent="0.25">
      <c r="A513" s="65"/>
      <c r="B513" s="65"/>
      <c r="C513" s="66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  <c r="AJ513" s="65"/>
      <c r="AK513" s="65"/>
      <c r="AL513" s="65"/>
      <c r="AM513" s="65"/>
      <c r="AN513" s="65"/>
      <c r="AO513" s="65"/>
      <c r="AP513" s="65"/>
    </row>
    <row r="514" spans="1:42" ht="12.75" customHeight="1" x14ac:dyDescent="0.25">
      <c r="A514" s="65"/>
      <c r="B514" s="65"/>
      <c r="C514" s="66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5"/>
      <c r="AK514" s="65"/>
      <c r="AL514" s="65"/>
      <c r="AM514" s="65"/>
      <c r="AN514" s="65"/>
      <c r="AO514" s="65"/>
      <c r="AP514" s="65"/>
    </row>
    <row r="515" spans="1:42" ht="12.75" customHeight="1" x14ac:dyDescent="0.25">
      <c r="A515" s="65"/>
      <c r="B515" s="65"/>
      <c r="C515" s="66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  <c r="AJ515" s="65"/>
      <c r="AK515" s="65"/>
      <c r="AL515" s="65"/>
      <c r="AM515" s="65"/>
      <c r="AN515" s="65"/>
      <c r="AO515" s="65"/>
      <c r="AP515" s="65"/>
    </row>
    <row r="516" spans="1:42" ht="12.75" customHeight="1" x14ac:dyDescent="0.25">
      <c r="A516" s="65"/>
      <c r="B516" s="65"/>
      <c r="C516" s="66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5"/>
      <c r="AK516" s="65"/>
      <c r="AL516" s="65"/>
      <c r="AM516" s="65"/>
      <c r="AN516" s="65"/>
      <c r="AO516" s="65"/>
      <c r="AP516" s="65"/>
    </row>
    <row r="517" spans="1:42" ht="12.75" customHeight="1" x14ac:dyDescent="0.25">
      <c r="A517" s="65"/>
      <c r="B517" s="65"/>
      <c r="C517" s="66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  <c r="AJ517" s="65"/>
      <c r="AK517" s="65"/>
      <c r="AL517" s="65"/>
      <c r="AM517" s="65"/>
      <c r="AN517" s="65"/>
      <c r="AO517" s="65"/>
      <c r="AP517" s="65"/>
    </row>
    <row r="518" spans="1:42" ht="12.75" customHeight="1" x14ac:dyDescent="0.25">
      <c r="A518" s="65"/>
      <c r="B518" s="65"/>
      <c r="C518" s="66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5"/>
      <c r="AK518" s="65"/>
      <c r="AL518" s="65"/>
      <c r="AM518" s="65"/>
      <c r="AN518" s="65"/>
      <c r="AO518" s="65"/>
      <c r="AP518" s="65"/>
    </row>
    <row r="519" spans="1:42" ht="12.75" customHeight="1" x14ac:dyDescent="0.25">
      <c r="A519" s="65"/>
      <c r="B519" s="65"/>
      <c r="C519" s="66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  <c r="AJ519" s="65"/>
      <c r="AK519" s="65"/>
      <c r="AL519" s="65"/>
      <c r="AM519" s="65"/>
      <c r="AN519" s="65"/>
      <c r="AO519" s="65"/>
      <c r="AP519" s="65"/>
    </row>
    <row r="520" spans="1:42" ht="12.75" customHeight="1" x14ac:dyDescent="0.25">
      <c r="A520" s="65"/>
      <c r="B520" s="65"/>
      <c r="C520" s="66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5"/>
      <c r="AK520" s="65"/>
      <c r="AL520" s="65"/>
      <c r="AM520" s="65"/>
      <c r="AN520" s="65"/>
      <c r="AO520" s="65"/>
      <c r="AP520" s="65"/>
    </row>
    <row r="521" spans="1:42" ht="12.75" customHeight="1" x14ac:dyDescent="0.25">
      <c r="A521" s="65"/>
      <c r="B521" s="65"/>
      <c r="C521" s="66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  <c r="AJ521" s="65"/>
      <c r="AK521" s="65"/>
      <c r="AL521" s="65"/>
      <c r="AM521" s="65"/>
      <c r="AN521" s="65"/>
      <c r="AO521" s="65"/>
      <c r="AP521" s="65"/>
    </row>
    <row r="522" spans="1:42" ht="12.75" customHeight="1" x14ac:dyDescent="0.25">
      <c r="A522" s="65"/>
      <c r="B522" s="65"/>
      <c r="C522" s="66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5"/>
      <c r="AK522" s="65"/>
      <c r="AL522" s="65"/>
      <c r="AM522" s="65"/>
      <c r="AN522" s="65"/>
      <c r="AO522" s="65"/>
      <c r="AP522" s="65"/>
    </row>
    <row r="523" spans="1:42" ht="12.75" customHeight="1" x14ac:dyDescent="0.25">
      <c r="A523" s="65"/>
      <c r="B523" s="65"/>
      <c r="C523" s="66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5"/>
      <c r="AK523" s="65"/>
      <c r="AL523" s="65"/>
      <c r="AM523" s="65"/>
      <c r="AN523" s="65"/>
      <c r="AO523" s="65"/>
      <c r="AP523" s="65"/>
    </row>
    <row r="524" spans="1:42" ht="12.75" customHeight="1" x14ac:dyDescent="0.25">
      <c r="A524" s="65"/>
      <c r="B524" s="65"/>
      <c r="C524" s="66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  <c r="AJ524" s="65"/>
      <c r="AK524" s="65"/>
      <c r="AL524" s="65"/>
      <c r="AM524" s="65"/>
      <c r="AN524" s="65"/>
      <c r="AO524" s="65"/>
      <c r="AP524" s="65"/>
    </row>
    <row r="525" spans="1:42" ht="12.75" customHeight="1" x14ac:dyDescent="0.25">
      <c r="A525" s="65"/>
      <c r="B525" s="65"/>
      <c r="C525" s="66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65"/>
      <c r="AJ525" s="65"/>
      <c r="AK525" s="65"/>
      <c r="AL525" s="65"/>
      <c r="AM525" s="65"/>
      <c r="AN525" s="65"/>
      <c r="AO525" s="65"/>
      <c r="AP525" s="65"/>
    </row>
    <row r="526" spans="1:42" ht="12.75" customHeight="1" x14ac:dyDescent="0.25">
      <c r="A526" s="65"/>
      <c r="B526" s="65"/>
      <c r="C526" s="66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65"/>
      <c r="AF526" s="65"/>
      <c r="AG526" s="65"/>
      <c r="AH526" s="65"/>
      <c r="AI526" s="65"/>
      <c r="AJ526" s="65"/>
      <c r="AK526" s="65"/>
      <c r="AL526" s="65"/>
      <c r="AM526" s="65"/>
      <c r="AN526" s="65"/>
      <c r="AO526" s="65"/>
      <c r="AP526" s="65"/>
    </row>
    <row r="527" spans="1:42" ht="12.75" customHeight="1" x14ac:dyDescent="0.25">
      <c r="A527" s="65"/>
      <c r="B527" s="65"/>
      <c r="C527" s="66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65"/>
      <c r="AF527" s="65"/>
      <c r="AG527" s="65"/>
      <c r="AH527" s="65"/>
      <c r="AI527" s="65"/>
      <c r="AJ527" s="65"/>
      <c r="AK527" s="65"/>
      <c r="AL527" s="65"/>
      <c r="AM527" s="65"/>
      <c r="AN527" s="65"/>
      <c r="AO527" s="65"/>
      <c r="AP527" s="65"/>
    </row>
    <row r="528" spans="1:42" ht="12.75" customHeight="1" x14ac:dyDescent="0.25">
      <c r="A528" s="65"/>
      <c r="B528" s="65"/>
      <c r="C528" s="66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65"/>
      <c r="AF528" s="65"/>
      <c r="AG528" s="65"/>
      <c r="AH528" s="65"/>
      <c r="AI528" s="65"/>
      <c r="AJ528" s="65"/>
      <c r="AK528" s="65"/>
      <c r="AL528" s="65"/>
      <c r="AM528" s="65"/>
      <c r="AN528" s="65"/>
      <c r="AO528" s="65"/>
      <c r="AP528" s="65"/>
    </row>
    <row r="529" spans="1:42" ht="12.75" customHeight="1" x14ac:dyDescent="0.25">
      <c r="A529" s="65"/>
      <c r="B529" s="65"/>
      <c r="C529" s="66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  <c r="AJ529" s="65"/>
      <c r="AK529" s="65"/>
      <c r="AL529" s="65"/>
      <c r="AM529" s="65"/>
      <c r="AN529" s="65"/>
      <c r="AO529" s="65"/>
      <c r="AP529" s="65"/>
    </row>
    <row r="530" spans="1:42" ht="12.75" customHeight="1" x14ac:dyDescent="0.25">
      <c r="A530" s="65"/>
      <c r="B530" s="65"/>
      <c r="C530" s="66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  <c r="AJ530" s="65"/>
      <c r="AK530" s="65"/>
      <c r="AL530" s="65"/>
      <c r="AM530" s="65"/>
      <c r="AN530" s="65"/>
      <c r="AO530" s="65"/>
      <c r="AP530" s="65"/>
    </row>
    <row r="531" spans="1:42" ht="12.75" customHeight="1" x14ac:dyDescent="0.25">
      <c r="A531" s="65"/>
      <c r="B531" s="65"/>
      <c r="C531" s="66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65"/>
      <c r="AF531" s="65"/>
      <c r="AG531" s="65"/>
      <c r="AH531" s="65"/>
      <c r="AI531" s="65"/>
      <c r="AJ531" s="65"/>
      <c r="AK531" s="65"/>
      <c r="AL531" s="65"/>
      <c r="AM531" s="65"/>
      <c r="AN531" s="65"/>
      <c r="AO531" s="65"/>
      <c r="AP531" s="65"/>
    </row>
    <row r="532" spans="1:42" ht="12.75" customHeight="1" x14ac:dyDescent="0.25">
      <c r="A532" s="65"/>
      <c r="B532" s="65"/>
      <c r="C532" s="66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5"/>
      <c r="AF532" s="65"/>
      <c r="AG532" s="65"/>
      <c r="AH532" s="65"/>
      <c r="AI532" s="65"/>
      <c r="AJ532" s="65"/>
      <c r="AK532" s="65"/>
      <c r="AL532" s="65"/>
      <c r="AM532" s="65"/>
      <c r="AN532" s="65"/>
      <c r="AO532" s="65"/>
      <c r="AP532" s="65"/>
    </row>
    <row r="533" spans="1:42" ht="12.75" customHeight="1" x14ac:dyDescent="0.25">
      <c r="A533" s="65"/>
      <c r="B533" s="65"/>
      <c r="C533" s="66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65"/>
      <c r="AF533" s="65"/>
      <c r="AG533" s="65"/>
      <c r="AH533" s="65"/>
      <c r="AI533" s="65"/>
      <c r="AJ533" s="65"/>
      <c r="AK533" s="65"/>
      <c r="AL533" s="65"/>
      <c r="AM533" s="65"/>
      <c r="AN533" s="65"/>
      <c r="AO533" s="65"/>
      <c r="AP533" s="65"/>
    </row>
    <row r="534" spans="1:42" ht="12.75" customHeight="1" x14ac:dyDescent="0.25">
      <c r="A534" s="65"/>
      <c r="B534" s="65"/>
      <c r="C534" s="66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  <c r="AJ534" s="65"/>
      <c r="AK534" s="65"/>
      <c r="AL534" s="65"/>
      <c r="AM534" s="65"/>
      <c r="AN534" s="65"/>
      <c r="AO534" s="65"/>
      <c r="AP534" s="65"/>
    </row>
    <row r="535" spans="1:42" ht="12.75" customHeight="1" x14ac:dyDescent="0.25">
      <c r="A535" s="65"/>
      <c r="B535" s="65"/>
      <c r="C535" s="66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  <c r="AJ535" s="65"/>
      <c r="AK535" s="65"/>
      <c r="AL535" s="65"/>
      <c r="AM535" s="65"/>
      <c r="AN535" s="65"/>
      <c r="AO535" s="65"/>
      <c r="AP535" s="65"/>
    </row>
    <row r="536" spans="1:42" ht="12.75" customHeight="1" x14ac:dyDescent="0.25">
      <c r="A536" s="65"/>
      <c r="B536" s="65"/>
      <c r="C536" s="66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  <c r="AJ536" s="65"/>
      <c r="AK536" s="65"/>
      <c r="AL536" s="65"/>
      <c r="AM536" s="65"/>
      <c r="AN536" s="65"/>
      <c r="AO536" s="65"/>
      <c r="AP536" s="65"/>
    </row>
    <row r="537" spans="1:42" ht="12.75" customHeight="1" x14ac:dyDescent="0.25">
      <c r="A537" s="65"/>
      <c r="B537" s="65"/>
      <c r="C537" s="66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65"/>
      <c r="AJ537" s="65"/>
      <c r="AK537" s="65"/>
      <c r="AL537" s="65"/>
      <c r="AM537" s="65"/>
      <c r="AN537" s="65"/>
      <c r="AO537" s="65"/>
      <c r="AP537" s="65"/>
    </row>
    <row r="538" spans="1:42" ht="12.75" customHeight="1" x14ac:dyDescent="0.25">
      <c r="A538" s="65"/>
      <c r="B538" s="65"/>
      <c r="C538" s="66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  <c r="AJ538" s="65"/>
      <c r="AK538" s="65"/>
      <c r="AL538" s="65"/>
      <c r="AM538" s="65"/>
      <c r="AN538" s="65"/>
      <c r="AO538" s="65"/>
      <c r="AP538" s="65"/>
    </row>
    <row r="539" spans="1:42" ht="12.75" customHeight="1" x14ac:dyDescent="0.25">
      <c r="A539" s="65"/>
      <c r="B539" s="65"/>
      <c r="C539" s="66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  <c r="AJ539" s="65"/>
      <c r="AK539" s="65"/>
      <c r="AL539" s="65"/>
      <c r="AM539" s="65"/>
      <c r="AN539" s="65"/>
      <c r="AO539" s="65"/>
      <c r="AP539" s="65"/>
    </row>
    <row r="540" spans="1:42" ht="12.75" customHeight="1" x14ac:dyDescent="0.25">
      <c r="A540" s="65"/>
      <c r="B540" s="65"/>
      <c r="C540" s="66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65"/>
      <c r="AF540" s="65"/>
      <c r="AG540" s="65"/>
      <c r="AH540" s="65"/>
      <c r="AI540" s="65"/>
      <c r="AJ540" s="65"/>
      <c r="AK540" s="65"/>
      <c r="AL540" s="65"/>
      <c r="AM540" s="65"/>
      <c r="AN540" s="65"/>
      <c r="AO540" s="65"/>
      <c r="AP540" s="65"/>
    </row>
    <row r="541" spans="1:42" ht="12.75" customHeight="1" x14ac:dyDescent="0.25">
      <c r="A541" s="65"/>
      <c r="B541" s="65"/>
      <c r="C541" s="66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65"/>
      <c r="AF541" s="65"/>
      <c r="AG541" s="65"/>
      <c r="AH541" s="65"/>
      <c r="AI541" s="65"/>
      <c r="AJ541" s="65"/>
      <c r="AK541" s="65"/>
      <c r="AL541" s="65"/>
      <c r="AM541" s="65"/>
      <c r="AN541" s="65"/>
      <c r="AO541" s="65"/>
      <c r="AP541" s="65"/>
    </row>
    <row r="542" spans="1:42" ht="12.75" customHeight="1" x14ac:dyDescent="0.25">
      <c r="A542" s="65"/>
      <c r="B542" s="65"/>
      <c r="C542" s="66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65"/>
      <c r="AF542" s="65"/>
      <c r="AG542" s="65"/>
      <c r="AH542" s="65"/>
      <c r="AI542" s="65"/>
      <c r="AJ542" s="65"/>
      <c r="AK542" s="65"/>
      <c r="AL542" s="65"/>
      <c r="AM542" s="65"/>
      <c r="AN542" s="65"/>
      <c r="AO542" s="65"/>
      <c r="AP542" s="65"/>
    </row>
    <row r="543" spans="1:42" ht="12.75" customHeight="1" x14ac:dyDescent="0.25">
      <c r="A543" s="65"/>
      <c r="B543" s="65"/>
      <c r="C543" s="66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  <c r="AJ543" s="65"/>
      <c r="AK543" s="65"/>
      <c r="AL543" s="65"/>
      <c r="AM543" s="65"/>
      <c r="AN543" s="65"/>
      <c r="AO543" s="65"/>
      <c r="AP543" s="65"/>
    </row>
    <row r="544" spans="1:42" ht="12.75" customHeight="1" x14ac:dyDescent="0.25">
      <c r="A544" s="65"/>
      <c r="B544" s="65"/>
      <c r="C544" s="66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  <c r="AJ544" s="65"/>
      <c r="AK544" s="65"/>
      <c r="AL544" s="65"/>
      <c r="AM544" s="65"/>
      <c r="AN544" s="65"/>
      <c r="AO544" s="65"/>
      <c r="AP544" s="65"/>
    </row>
    <row r="545" spans="1:42" ht="12.75" customHeight="1" x14ac:dyDescent="0.25">
      <c r="A545" s="65"/>
      <c r="B545" s="65"/>
      <c r="C545" s="66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  <c r="AJ545" s="65"/>
      <c r="AK545" s="65"/>
      <c r="AL545" s="65"/>
      <c r="AM545" s="65"/>
      <c r="AN545" s="65"/>
      <c r="AO545" s="65"/>
      <c r="AP545" s="65"/>
    </row>
    <row r="546" spans="1:42" ht="12.75" customHeight="1" x14ac:dyDescent="0.25">
      <c r="A546" s="65"/>
      <c r="B546" s="65"/>
      <c r="C546" s="66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  <c r="AJ546" s="65"/>
      <c r="AK546" s="65"/>
      <c r="AL546" s="65"/>
      <c r="AM546" s="65"/>
      <c r="AN546" s="65"/>
      <c r="AO546" s="65"/>
      <c r="AP546" s="65"/>
    </row>
    <row r="547" spans="1:42" ht="12.75" customHeight="1" x14ac:dyDescent="0.25">
      <c r="A547" s="65"/>
      <c r="B547" s="65"/>
      <c r="C547" s="66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  <c r="AJ547" s="65"/>
      <c r="AK547" s="65"/>
      <c r="AL547" s="65"/>
      <c r="AM547" s="65"/>
      <c r="AN547" s="65"/>
      <c r="AO547" s="65"/>
      <c r="AP547" s="65"/>
    </row>
    <row r="548" spans="1:42" ht="12.75" customHeight="1" x14ac:dyDescent="0.25">
      <c r="A548" s="65"/>
      <c r="B548" s="65"/>
      <c r="C548" s="66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  <c r="AJ548" s="65"/>
      <c r="AK548" s="65"/>
      <c r="AL548" s="65"/>
      <c r="AM548" s="65"/>
      <c r="AN548" s="65"/>
      <c r="AO548" s="65"/>
      <c r="AP548" s="65"/>
    </row>
    <row r="549" spans="1:42" ht="12.75" customHeight="1" x14ac:dyDescent="0.25">
      <c r="A549" s="65"/>
      <c r="B549" s="65"/>
      <c r="C549" s="66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65"/>
      <c r="AF549" s="65"/>
      <c r="AG549" s="65"/>
      <c r="AH549" s="65"/>
      <c r="AI549" s="65"/>
      <c r="AJ549" s="65"/>
      <c r="AK549" s="65"/>
      <c r="AL549" s="65"/>
      <c r="AM549" s="65"/>
      <c r="AN549" s="65"/>
      <c r="AO549" s="65"/>
      <c r="AP549" s="65"/>
    </row>
    <row r="550" spans="1:42" ht="12.75" customHeight="1" x14ac:dyDescent="0.25">
      <c r="A550" s="65"/>
      <c r="B550" s="65"/>
      <c r="C550" s="66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65"/>
      <c r="AF550" s="65"/>
      <c r="AG550" s="65"/>
      <c r="AH550" s="65"/>
      <c r="AI550" s="65"/>
      <c r="AJ550" s="65"/>
      <c r="AK550" s="65"/>
      <c r="AL550" s="65"/>
      <c r="AM550" s="65"/>
      <c r="AN550" s="65"/>
      <c r="AO550" s="65"/>
      <c r="AP550" s="65"/>
    </row>
    <row r="551" spans="1:42" ht="12.75" customHeight="1" x14ac:dyDescent="0.25">
      <c r="A551" s="65"/>
      <c r="B551" s="65"/>
      <c r="C551" s="66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65"/>
      <c r="AF551" s="65"/>
      <c r="AG551" s="65"/>
      <c r="AH551" s="65"/>
      <c r="AI551" s="65"/>
      <c r="AJ551" s="65"/>
      <c r="AK551" s="65"/>
      <c r="AL551" s="65"/>
      <c r="AM551" s="65"/>
      <c r="AN551" s="65"/>
      <c r="AO551" s="65"/>
      <c r="AP551" s="65"/>
    </row>
    <row r="552" spans="1:42" ht="12.75" customHeight="1" x14ac:dyDescent="0.25">
      <c r="A552" s="65"/>
      <c r="B552" s="65"/>
      <c r="C552" s="66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65"/>
      <c r="AF552" s="65"/>
      <c r="AG552" s="65"/>
      <c r="AH552" s="65"/>
      <c r="AI552" s="65"/>
      <c r="AJ552" s="65"/>
      <c r="AK552" s="65"/>
      <c r="AL552" s="65"/>
      <c r="AM552" s="65"/>
      <c r="AN552" s="65"/>
      <c r="AO552" s="65"/>
      <c r="AP552" s="65"/>
    </row>
    <row r="553" spans="1:42" ht="12.75" customHeight="1" x14ac:dyDescent="0.25">
      <c r="A553" s="65"/>
      <c r="B553" s="65"/>
      <c r="C553" s="66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65"/>
      <c r="AF553" s="65"/>
      <c r="AG553" s="65"/>
      <c r="AH553" s="65"/>
      <c r="AI553" s="65"/>
      <c r="AJ553" s="65"/>
      <c r="AK553" s="65"/>
      <c r="AL553" s="65"/>
      <c r="AM553" s="65"/>
      <c r="AN553" s="65"/>
      <c r="AO553" s="65"/>
      <c r="AP553" s="65"/>
    </row>
    <row r="554" spans="1:42" ht="12.75" customHeight="1" x14ac:dyDescent="0.25">
      <c r="A554" s="65"/>
      <c r="B554" s="65"/>
      <c r="C554" s="66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65"/>
      <c r="AF554" s="65"/>
      <c r="AG554" s="65"/>
      <c r="AH554" s="65"/>
      <c r="AI554" s="65"/>
      <c r="AJ554" s="65"/>
      <c r="AK554" s="65"/>
      <c r="AL554" s="65"/>
      <c r="AM554" s="65"/>
      <c r="AN554" s="65"/>
      <c r="AO554" s="65"/>
      <c r="AP554" s="65"/>
    </row>
    <row r="555" spans="1:42" ht="12.75" customHeight="1" x14ac:dyDescent="0.25">
      <c r="A555" s="65"/>
      <c r="B555" s="65"/>
      <c r="C555" s="66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  <c r="AJ555" s="65"/>
      <c r="AK555" s="65"/>
      <c r="AL555" s="65"/>
      <c r="AM555" s="65"/>
      <c r="AN555" s="65"/>
      <c r="AO555" s="65"/>
      <c r="AP555" s="65"/>
    </row>
    <row r="556" spans="1:42" ht="12.75" customHeight="1" x14ac:dyDescent="0.25">
      <c r="A556" s="65"/>
      <c r="B556" s="65"/>
      <c r="C556" s="66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  <c r="AJ556" s="65"/>
      <c r="AK556" s="65"/>
      <c r="AL556" s="65"/>
      <c r="AM556" s="65"/>
      <c r="AN556" s="65"/>
      <c r="AO556" s="65"/>
      <c r="AP556" s="65"/>
    </row>
    <row r="557" spans="1:42" ht="12.75" customHeight="1" x14ac:dyDescent="0.25">
      <c r="A557" s="65"/>
      <c r="B557" s="65"/>
      <c r="C557" s="66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  <c r="AJ557" s="65"/>
      <c r="AK557" s="65"/>
      <c r="AL557" s="65"/>
      <c r="AM557" s="65"/>
      <c r="AN557" s="65"/>
      <c r="AO557" s="65"/>
      <c r="AP557" s="65"/>
    </row>
    <row r="558" spans="1:42" ht="12.75" customHeight="1" x14ac:dyDescent="0.25">
      <c r="A558" s="65"/>
      <c r="B558" s="65"/>
      <c r="C558" s="66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65"/>
      <c r="AF558" s="65"/>
      <c r="AG558" s="65"/>
      <c r="AH558" s="65"/>
      <c r="AI558" s="65"/>
      <c r="AJ558" s="65"/>
      <c r="AK558" s="65"/>
      <c r="AL558" s="65"/>
      <c r="AM558" s="65"/>
      <c r="AN558" s="65"/>
      <c r="AO558" s="65"/>
      <c r="AP558" s="65"/>
    </row>
    <row r="559" spans="1:42" ht="12.75" customHeight="1" x14ac:dyDescent="0.25">
      <c r="A559" s="65"/>
      <c r="B559" s="65"/>
      <c r="C559" s="66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65"/>
      <c r="AG559" s="65"/>
      <c r="AH559" s="65"/>
      <c r="AI559" s="65"/>
      <c r="AJ559" s="65"/>
      <c r="AK559" s="65"/>
      <c r="AL559" s="65"/>
      <c r="AM559" s="65"/>
      <c r="AN559" s="65"/>
      <c r="AO559" s="65"/>
      <c r="AP559" s="65"/>
    </row>
    <row r="560" spans="1:42" ht="12.75" customHeight="1" x14ac:dyDescent="0.25">
      <c r="A560" s="65"/>
      <c r="B560" s="65"/>
      <c r="C560" s="66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65"/>
      <c r="AF560" s="65"/>
      <c r="AG560" s="65"/>
      <c r="AH560" s="65"/>
      <c r="AI560" s="65"/>
      <c r="AJ560" s="65"/>
      <c r="AK560" s="65"/>
      <c r="AL560" s="65"/>
      <c r="AM560" s="65"/>
      <c r="AN560" s="65"/>
      <c r="AO560" s="65"/>
      <c r="AP560" s="65"/>
    </row>
    <row r="561" spans="1:42" ht="12.75" customHeight="1" x14ac:dyDescent="0.25">
      <c r="A561" s="65"/>
      <c r="B561" s="65"/>
      <c r="C561" s="66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65"/>
      <c r="AG561" s="65"/>
      <c r="AH561" s="65"/>
      <c r="AI561" s="65"/>
      <c r="AJ561" s="65"/>
      <c r="AK561" s="65"/>
      <c r="AL561" s="65"/>
      <c r="AM561" s="65"/>
      <c r="AN561" s="65"/>
      <c r="AO561" s="65"/>
      <c r="AP561" s="65"/>
    </row>
    <row r="562" spans="1:42" ht="12.75" customHeight="1" x14ac:dyDescent="0.25">
      <c r="A562" s="65"/>
      <c r="B562" s="65"/>
      <c r="C562" s="66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65"/>
      <c r="AG562" s="65"/>
      <c r="AH562" s="65"/>
      <c r="AI562" s="65"/>
      <c r="AJ562" s="65"/>
      <c r="AK562" s="65"/>
      <c r="AL562" s="65"/>
      <c r="AM562" s="65"/>
      <c r="AN562" s="65"/>
      <c r="AO562" s="65"/>
      <c r="AP562" s="65"/>
    </row>
    <row r="563" spans="1:42" ht="12.75" customHeight="1" x14ac:dyDescent="0.25">
      <c r="A563" s="65"/>
      <c r="B563" s="65"/>
      <c r="C563" s="66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  <c r="AJ563" s="65"/>
      <c r="AK563" s="65"/>
      <c r="AL563" s="65"/>
      <c r="AM563" s="65"/>
      <c r="AN563" s="65"/>
      <c r="AO563" s="65"/>
      <c r="AP563" s="65"/>
    </row>
    <row r="564" spans="1:42" ht="12.75" customHeight="1" x14ac:dyDescent="0.25">
      <c r="A564" s="65"/>
      <c r="B564" s="65"/>
      <c r="C564" s="66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  <c r="AJ564" s="65"/>
      <c r="AK564" s="65"/>
      <c r="AL564" s="65"/>
      <c r="AM564" s="65"/>
      <c r="AN564" s="65"/>
      <c r="AO564" s="65"/>
      <c r="AP564" s="65"/>
    </row>
    <row r="565" spans="1:42" ht="12.75" customHeight="1" x14ac:dyDescent="0.25">
      <c r="A565" s="65"/>
      <c r="B565" s="65"/>
      <c r="C565" s="66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65"/>
      <c r="AG565" s="65"/>
      <c r="AH565" s="65"/>
      <c r="AI565" s="65"/>
      <c r="AJ565" s="65"/>
      <c r="AK565" s="65"/>
      <c r="AL565" s="65"/>
      <c r="AM565" s="65"/>
      <c r="AN565" s="65"/>
      <c r="AO565" s="65"/>
      <c r="AP565" s="65"/>
    </row>
    <row r="566" spans="1:42" ht="12.75" customHeight="1" x14ac:dyDescent="0.25">
      <c r="A566" s="65"/>
      <c r="B566" s="65"/>
      <c r="C566" s="66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65"/>
      <c r="AF566" s="65"/>
      <c r="AG566" s="65"/>
      <c r="AH566" s="65"/>
      <c r="AI566" s="65"/>
      <c r="AJ566" s="65"/>
      <c r="AK566" s="65"/>
      <c r="AL566" s="65"/>
      <c r="AM566" s="65"/>
      <c r="AN566" s="65"/>
      <c r="AO566" s="65"/>
      <c r="AP566" s="65"/>
    </row>
    <row r="567" spans="1:42" ht="12.75" customHeight="1" x14ac:dyDescent="0.25">
      <c r="A567" s="65"/>
      <c r="B567" s="65"/>
      <c r="C567" s="66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65"/>
      <c r="AG567" s="65"/>
      <c r="AH567" s="65"/>
      <c r="AI567" s="65"/>
      <c r="AJ567" s="65"/>
      <c r="AK567" s="65"/>
      <c r="AL567" s="65"/>
      <c r="AM567" s="65"/>
      <c r="AN567" s="65"/>
      <c r="AO567" s="65"/>
      <c r="AP567" s="65"/>
    </row>
    <row r="568" spans="1:42" ht="12.75" customHeight="1" x14ac:dyDescent="0.25">
      <c r="A568" s="65"/>
      <c r="B568" s="65"/>
      <c r="C568" s="66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65"/>
      <c r="AF568" s="65"/>
      <c r="AG568" s="65"/>
      <c r="AH568" s="65"/>
      <c r="AI568" s="65"/>
      <c r="AJ568" s="65"/>
      <c r="AK568" s="65"/>
      <c r="AL568" s="65"/>
      <c r="AM568" s="65"/>
      <c r="AN568" s="65"/>
      <c r="AO568" s="65"/>
      <c r="AP568" s="65"/>
    </row>
    <row r="569" spans="1:42" ht="12.75" customHeight="1" x14ac:dyDescent="0.25">
      <c r="A569" s="65"/>
      <c r="B569" s="65"/>
      <c r="C569" s="66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65"/>
      <c r="AF569" s="65"/>
      <c r="AG569" s="65"/>
      <c r="AH569" s="65"/>
      <c r="AI569" s="65"/>
      <c r="AJ569" s="65"/>
      <c r="AK569" s="65"/>
      <c r="AL569" s="65"/>
      <c r="AM569" s="65"/>
      <c r="AN569" s="65"/>
      <c r="AO569" s="65"/>
      <c r="AP569" s="65"/>
    </row>
    <row r="570" spans="1:42" ht="12.75" customHeight="1" x14ac:dyDescent="0.25">
      <c r="A570" s="65"/>
      <c r="B570" s="65"/>
      <c r="C570" s="66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  <c r="AJ570" s="65"/>
      <c r="AK570" s="65"/>
      <c r="AL570" s="65"/>
      <c r="AM570" s="65"/>
      <c r="AN570" s="65"/>
      <c r="AO570" s="65"/>
      <c r="AP570" s="65"/>
    </row>
    <row r="571" spans="1:42" ht="12.75" customHeight="1" x14ac:dyDescent="0.25">
      <c r="A571" s="65"/>
      <c r="B571" s="65"/>
      <c r="C571" s="66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  <c r="AJ571" s="65"/>
      <c r="AK571" s="65"/>
      <c r="AL571" s="65"/>
      <c r="AM571" s="65"/>
      <c r="AN571" s="65"/>
      <c r="AO571" s="65"/>
      <c r="AP571" s="65"/>
    </row>
    <row r="572" spans="1:42" ht="12.75" customHeight="1" x14ac:dyDescent="0.25">
      <c r="A572" s="65"/>
      <c r="B572" s="65"/>
      <c r="C572" s="66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  <c r="AJ572" s="65"/>
      <c r="AK572" s="65"/>
      <c r="AL572" s="65"/>
      <c r="AM572" s="65"/>
      <c r="AN572" s="65"/>
      <c r="AO572" s="65"/>
      <c r="AP572" s="65"/>
    </row>
    <row r="573" spans="1:42" ht="12.75" customHeight="1" x14ac:dyDescent="0.25">
      <c r="A573" s="65"/>
      <c r="B573" s="65"/>
      <c r="C573" s="66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65"/>
      <c r="AG573" s="65"/>
      <c r="AH573" s="65"/>
      <c r="AI573" s="65"/>
      <c r="AJ573" s="65"/>
      <c r="AK573" s="65"/>
      <c r="AL573" s="65"/>
      <c r="AM573" s="65"/>
      <c r="AN573" s="65"/>
      <c r="AO573" s="65"/>
      <c r="AP573" s="65"/>
    </row>
    <row r="574" spans="1:42" ht="12.75" customHeight="1" x14ac:dyDescent="0.25">
      <c r="A574" s="65"/>
      <c r="B574" s="65"/>
      <c r="C574" s="66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  <c r="AJ574" s="65"/>
      <c r="AK574" s="65"/>
      <c r="AL574" s="65"/>
      <c r="AM574" s="65"/>
      <c r="AN574" s="65"/>
      <c r="AO574" s="65"/>
      <c r="AP574" s="65"/>
    </row>
    <row r="575" spans="1:42" ht="12.75" customHeight="1" x14ac:dyDescent="0.25">
      <c r="A575" s="65"/>
      <c r="B575" s="65"/>
      <c r="C575" s="66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65"/>
      <c r="AG575" s="65"/>
      <c r="AH575" s="65"/>
      <c r="AI575" s="65"/>
      <c r="AJ575" s="65"/>
      <c r="AK575" s="65"/>
      <c r="AL575" s="65"/>
      <c r="AM575" s="65"/>
      <c r="AN575" s="65"/>
      <c r="AO575" s="65"/>
      <c r="AP575" s="65"/>
    </row>
    <row r="576" spans="1:42" ht="12.75" customHeight="1" x14ac:dyDescent="0.25">
      <c r="A576" s="65"/>
      <c r="B576" s="65"/>
      <c r="C576" s="66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65"/>
      <c r="AF576" s="65"/>
      <c r="AG576" s="65"/>
      <c r="AH576" s="65"/>
      <c r="AI576" s="65"/>
      <c r="AJ576" s="65"/>
      <c r="AK576" s="65"/>
      <c r="AL576" s="65"/>
      <c r="AM576" s="65"/>
      <c r="AN576" s="65"/>
      <c r="AO576" s="65"/>
      <c r="AP576" s="65"/>
    </row>
    <row r="577" spans="1:42" ht="12.75" customHeight="1" x14ac:dyDescent="0.25">
      <c r="A577" s="65"/>
      <c r="B577" s="65"/>
      <c r="C577" s="66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65"/>
      <c r="AG577" s="65"/>
      <c r="AH577" s="65"/>
      <c r="AI577" s="65"/>
      <c r="AJ577" s="65"/>
      <c r="AK577" s="65"/>
      <c r="AL577" s="65"/>
      <c r="AM577" s="65"/>
      <c r="AN577" s="65"/>
      <c r="AO577" s="65"/>
      <c r="AP577" s="65"/>
    </row>
    <row r="578" spans="1:42" ht="12.75" customHeight="1" x14ac:dyDescent="0.25">
      <c r="A578" s="65"/>
      <c r="B578" s="65"/>
      <c r="C578" s="66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65"/>
      <c r="AF578" s="65"/>
      <c r="AG578" s="65"/>
      <c r="AH578" s="65"/>
      <c r="AI578" s="65"/>
      <c r="AJ578" s="65"/>
      <c r="AK578" s="65"/>
      <c r="AL578" s="65"/>
      <c r="AM578" s="65"/>
      <c r="AN578" s="65"/>
      <c r="AO578" s="65"/>
      <c r="AP578" s="65"/>
    </row>
    <row r="579" spans="1:42" ht="12.75" customHeight="1" x14ac:dyDescent="0.25">
      <c r="A579" s="65"/>
      <c r="B579" s="65"/>
      <c r="C579" s="66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65"/>
      <c r="AG579" s="65"/>
      <c r="AH579" s="65"/>
      <c r="AI579" s="65"/>
      <c r="AJ579" s="65"/>
      <c r="AK579" s="65"/>
      <c r="AL579" s="65"/>
      <c r="AM579" s="65"/>
      <c r="AN579" s="65"/>
      <c r="AO579" s="65"/>
      <c r="AP579" s="65"/>
    </row>
    <row r="580" spans="1:42" ht="12.75" customHeight="1" x14ac:dyDescent="0.25">
      <c r="A580" s="65"/>
      <c r="B580" s="65"/>
      <c r="C580" s="66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65"/>
      <c r="AF580" s="65"/>
      <c r="AG580" s="65"/>
      <c r="AH580" s="65"/>
      <c r="AI580" s="65"/>
      <c r="AJ580" s="65"/>
      <c r="AK580" s="65"/>
      <c r="AL580" s="65"/>
      <c r="AM580" s="65"/>
      <c r="AN580" s="65"/>
      <c r="AO580" s="65"/>
      <c r="AP580" s="65"/>
    </row>
    <row r="581" spans="1:42" ht="12.75" customHeight="1" x14ac:dyDescent="0.25">
      <c r="A581" s="65"/>
      <c r="B581" s="65"/>
      <c r="C581" s="66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  <c r="AJ581" s="65"/>
      <c r="AK581" s="65"/>
      <c r="AL581" s="65"/>
      <c r="AM581" s="65"/>
      <c r="AN581" s="65"/>
      <c r="AO581" s="65"/>
      <c r="AP581" s="65"/>
    </row>
    <row r="582" spans="1:42" ht="12.75" customHeight="1" x14ac:dyDescent="0.25">
      <c r="A582" s="65"/>
      <c r="B582" s="65"/>
      <c r="C582" s="66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65"/>
      <c r="AF582" s="65"/>
      <c r="AG582" s="65"/>
      <c r="AH582" s="65"/>
      <c r="AI582" s="65"/>
      <c r="AJ582" s="65"/>
      <c r="AK582" s="65"/>
      <c r="AL582" s="65"/>
      <c r="AM582" s="65"/>
      <c r="AN582" s="65"/>
      <c r="AO582" s="65"/>
      <c r="AP582" s="65"/>
    </row>
    <row r="583" spans="1:42" ht="12.75" customHeight="1" x14ac:dyDescent="0.25">
      <c r="A583" s="65"/>
      <c r="B583" s="65"/>
      <c r="C583" s="66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65"/>
      <c r="AG583" s="65"/>
      <c r="AH583" s="65"/>
      <c r="AI583" s="65"/>
      <c r="AJ583" s="65"/>
      <c r="AK583" s="65"/>
      <c r="AL583" s="65"/>
      <c r="AM583" s="65"/>
      <c r="AN583" s="65"/>
      <c r="AO583" s="65"/>
      <c r="AP583" s="65"/>
    </row>
    <row r="584" spans="1:42" ht="12.75" customHeight="1" x14ac:dyDescent="0.25">
      <c r="A584" s="65"/>
      <c r="B584" s="65"/>
      <c r="C584" s="66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65"/>
      <c r="AF584" s="65"/>
      <c r="AG584" s="65"/>
      <c r="AH584" s="65"/>
      <c r="AI584" s="65"/>
      <c r="AJ584" s="65"/>
      <c r="AK584" s="65"/>
      <c r="AL584" s="65"/>
      <c r="AM584" s="65"/>
      <c r="AN584" s="65"/>
      <c r="AO584" s="65"/>
      <c r="AP584" s="65"/>
    </row>
    <row r="585" spans="1:42" ht="12.75" customHeight="1" x14ac:dyDescent="0.25">
      <c r="A585" s="65"/>
      <c r="B585" s="65"/>
      <c r="C585" s="66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65"/>
      <c r="AG585" s="65"/>
      <c r="AH585" s="65"/>
      <c r="AI585" s="65"/>
      <c r="AJ585" s="65"/>
      <c r="AK585" s="65"/>
      <c r="AL585" s="65"/>
      <c r="AM585" s="65"/>
      <c r="AN585" s="65"/>
      <c r="AO585" s="65"/>
      <c r="AP585" s="65"/>
    </row>
    <row r="586" spans="1:42" ht="12.75" customHeight="1" x14ac:dyDescent="0.25">
      <c r="A586" s="65"/>
      <c r="B586" s="65"/>
      <c r="C586" s="66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65"/>
      <c r="AF586" s="65"/>
      <c r="AG586" s="65"/>
      <c r="AH586" s="65"/>
      <c r="AI586" s="65"/>
      <c r="AJ586" s="65"/>
      <c r="AK586" s="65"/>
      <c r="AL586" s="65"/>
      <c r="AM586" s="65"/>
      <c r="AN586" s="65"/>
      <c r="AO586" s="65"/>
      <c r="AP586" s="65"/>
    </row>
    <row r="587" spans="1:42" ht="12.75" customHeight="1" x14ac:dyDescent="0.25">
      <c r="A587" s="65"/>
      <c r="B587" s="65"/>
      <c r="C587" s="66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65"/>
      <c r="AG587" s="65"/>
      <c r="AH587" s="65"/>
      <c r="AI587" s="65"/>
      <c r="AJ587" s="65"/>
      <c r="AK587" s="65"/>
      <c r="AL587" s="65"/>
      <c r="AM587" s="65"/>
      <c r="AN587" s="65"/>
      <c r="AO587" s="65"/>
      <c r="AP587" s="65"/>
    </row>
    <row r="588" spans="1:42" ht="12.75" customHeight="1" x14ac:dyDescent="0.25">
      <c r="A588" s="65"/>
      <c r="B588" s="65"/>
      <c r="C588" s="66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  <c r="AJ588" s="65"/>
      <c r="AK588" s="65"/>
      <c r="AL588" s="65"/>
      <c r="AM588" s="65"/>
      <c r="AN588" s="65"/>
      <c r="AO588" s="65"/>
      <c r="AP588" s="65"/>
    </row>
    <row r="589" spans="1:42" ht="12.75" customHeight="1" x14ac:dyDescent="0.25">
      <c r="A589" s="65"/>
      <c r="B589" s="65"/>
      <c r="C589" s="66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  <c r="AG589" s="65"/>
      <c r="AH589" s="65"/>
      <c r="AI589" s="65"/>
      <c r="AJ589" s="65"/>
      <c r="AK589" s="65"/>
      <c r="AL589" s="65"/>
      <c r="AM589" s="65"/>
      <c r="AN589" s="65"/>
      <c r="AO589" s="65"/>
      <c r="AP589" s="65"/>
    </row>
    <row r="590" spans="1:42" ht="12.75" customHeight="1" x14ac:dyDescent="0.25">
      <c r="A590" s="65"/>
      <c r="B590" s="65"/>
      <c r="C590" s="66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  <c r="AJ590" s="65"/>
      <c r="AK590" s="65"/>
      <c r="AL590" s="65"/>
      <c r="AM590" s="65"/>
      <c r="AN590" s="65"/>
      <c r="AO590" s="65"/>
      <c r="AP590" s="65"/>
    </row>
    <row r="591" spans="1:42" ht="12.75" customHeight="1" x14ac:dyDescent="0.25">
      <c r="A591" s="65"/>
      <c r="B591" s="65"/>
      <c r="C591" s="66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  <c r="AJ591" s="65"/>
      <c r="AK591" s="65"/>
      <c r="AL591" s="65"/>
      <c r="AM591" s="65"/>
      <c r="AN591" s="65"/>
      <c r="AO591" s="65"/>
      <c r="AP591" s="65"/>
    </row>
    <row r="592" spans="1:42" ht="12.75" customHeight="1" x14ac:dyDescent="0.25">
      <c r="A592" s="65"/>
      <c r="B592" s="65"/>
      <c r="C592" s="66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5"/>
      <c r="AK592" s="65"/>
      <c r="AL592" s="65"/>
      <c r="AM592" s="65"/>
      <c r="AN592" s="65"/>
      <c r="AO592" s="65"/>
      <c r="AP592" s="65"/>
    </row>
    <row r="593" spans="1:42" ht="12.75" customHeight="1" x14ac:dyDescent="0.25">
      <c r="A593" s="65"/>
      <c r="B593" s="65"/>
      <c r="C593" s="66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65"/>
      <c r="AG593" s="65"/>
      <c r="AH593" s="65"/>
      <c r="AI593" s="65"/>
      <c r="AJ593" s="65"/>
      <c r="AK593" s="65"/>
      <c r="AL593" s="65"/>
      <c r="AM593" s="65"/>
      <c r="AN593" s="65"/>
      <c r="AO593" s="65"/>
      <c r="AP593" s="65"/>
    </row>
    <row r="594" spans="1:42" ht="12.75" customHeight="1" x14ac:dyDescent="0.25">
      <c r="A594" s="65"/>
      <c r="B594" s="65"/>
      <c r="C594" s="66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  <c r="AJ594" s="65"/>
      <c r="AK594" s="65"/>
      <c r="AL594" s="65"/>
      <c r="AM594" s="65"/>
      <c r="AN594" s="65"/>
      <c r="AO594" s="65"/>
      <c r="AP594" s="65"/>
    </row>
    <row r="595" spans="1:42" ht="12.75" customHeight="1" x14ac:dyDescent="0.25">
      <c r="A595" s="65"/>
      <c r="B595" s="65"/>
      <c r="C595" s="66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  <c r="AJ595" s="65"/>
      <c r="AK595" s="65"/>
      <c r="AL595" s="65"/>
      <c r="AM595" s="65"/>
      <c r="AN595" s="65"/>
      <c r="AO595" s="65"/>
      <c r="AP595" s="65"/>
    </row>
    <row r="596" spans="1:42" ht="12.75" customHeight="1" x14ac:dyDescent="0.25">
      <c r="A596" s="65"/>
      <c r="B596" s="65"/>
      <c r="C596" s="66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  <c r="AJ596" s="65"/>
      <c r="AK596" s="65"/>
      <c r="AL596" s="65"/>
      <c r="AM596" s="65"/>
      <c r="AN596" s="65"/>
      <c r="AO596" s="65"/>
      <c r="AP596" s="65"/>
    </row>
    <row r="597" spans="1:42" ht="12.75" customHeight="1" x14ac:dyDescent="0.25">
      <c r="A597" s="65"/>
      <c r="B597" s="65"/>
      <c r="C597" s="66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  <c r="AJ597" s="65"/>
      <c r="AK597" s="65"/>
      <c r="AL597" s="65"/>
      <c r="AM597" s="65"/>
      <c r="AN597" s="65"/>
      <c r="AO597" s="65"/>
      <c r="AP597" s="65"/>
    </row>
    <row r="598" spans="1:42" ht="12.75" customHeight="1" x14ac:dyDescent="0.25">
      <c r="A598" s="65"/>
      <c r="B598" s="65"/>
      <c r="C598" s="66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  <c r="AJ598" s="65"/>
      <c r="AK598" s="65"/>
      <c r="AL598" s="65"/>
      <c r="AM598" s="65"/>
      <c r="AN598" s="65"/>
      <c r="AO598" s="65"/>
      <c r="AP598" s="65"/>
    </row>
    <row r="599" spans="1:42" ht="12.75" customHeight="1" x14ac:dyDescent="0.25">
      <c r="A599" s="65"/>
      <c r="B599" s="65"/>
      <c r="C599" s="66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65"/>
      <c r="AG599" s="65"/>
      <c r="AH599" s="65"/>
      <c r="AI599" s="65"/>
      <c r="AJ599" s="65"/>
      <c r="AK599" s="65"/>
      <c r="AL599" s="65"/>
      <c r="AM599" s="65"/>
      <c r="AN599" s="65"/>
      <c r="AO599" s="65"/>
      <c r="AP599" s="65"/>
    </row>
    <row r="600" spans="1:42" ht="12.75" customHeight="1" x14ac:dyDescent="0.25">
      <c r="A600" s="65"/>
      <c r="B600" s="65"/>
      <c r="C600" s="66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65"/>
      <c r="AF600" s="65"/>
      <c r="AG600" s="65"/>
      <c r="AH600" s="65"/>
      <c r="AI600" s="65"/>
      <c r="AJ600" s="65"/>
      <c r="AK600" s="65"/>
      <c r="AL600" s="65"/>
      <c r="AM600" s="65"/>
      <c r="AN600" s="65"/>
      <c r="AO600" s="65"/>
      <c r="AP600" s="65"/>
    </row>
    <row r="601" spans="1:42" ht="12.75" customHeight="1" x14ac:dyDescent="0.25">
      <c r="A601" s="65"/>
      <c r="B601" s="65"/>
      <c r="C601" s="66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65"/>
      <c r="AG601" s="65"/>
      <c r="AH601" s="65"/>
      <c r="AI601" s="65"/>
      <c r="AJ601" s="65"/>
      <c r="AK601" s="65"/>
      <c r="AL601" s="65"/>
      <c r="AM601" s="65"/>
      <c r="AN601" s="65"/>
      <c r="AO601" s="65"/>
      <c r="AP601" s="65"/>
    </row>
    <row r="602" spans="1:42" ht="12.75" customHeight="1" x14ac:dyDescent="0.25">
      <c r="A602" s="65"/>
      <c r="B602" s="65"/>
      <c r="C602" s="66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  <c r="AJ602" s="65"/>
      <c r="AK602" s="65"/>
      <c r="AL602" s="65"/>
      <c r="AM602" s="65"/>
      <c r="AN602" s="65"/>
      <c r="AO602" s="65"/>
      <c r="AP602" s="65"/>
    </row>
    <row r="603" spans="1:42" ht="12.75" customHeight="1" x14ac:dyDescent="0.25">
      <c r="A603" s="65"/>
      <c r="B603" s="65"/>
      <c r="C603" s="66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65"/>
      <c r="AG603" s="65"/>
      <c r="AH603" s="65"/>
      <c r="AI603" s="65"/>
      <c r="AJ603" s="65"/>
      <c r="AK603" s="65"/>
      <c r="AL603" s="65"/>
      <c r="AM603" s="65"/>
      <c r="AN603" s="65"/>
      <c r="AO603" s="65"/>
      <c r="AP603" s="65"/>
    </row>
    <row r="604" spans="1:42" ht="12.75" customHeight="1" x14ac:dyDescent="0.25">
      <c r="A604" s="65"/>
      <c r="B604" s="65"/>
      <c r="C604" s="66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  <c r="AJ604" s="65"/>
      <c r="AK604" s="65"/>
      <c r="AL604" s="65"/>
      <c r="AM604" s="65"/>
      <c r="AN604" s="65"/>
      <c r="AO604" s="65"/>
      <c r="AP604" s="65"/>
    </row>
    <row r="605" spans="1:42" ht="12.75" customHeight="1" x14ac:dyDescent="0.25">
      <c r="A605" s="65"/>
      <c r="B605" s="65"/>
      <c r="C605" s="66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65"/>
      <c r="AG605" s="65"/>
      <c r="AH605" s="65"/>
      <c r="AI605" s="65"/>
      <c r="AJ605" s="65"/>
      <c r="AK605" s="65"/>
      <c r="AL605" s="65"/>
      <c r="AM605" s="65"/>
      <c r="AN605" s="65"/>
      <c r="AO605" s="65"/>
      <c r="AP605" s="65"/>
    </row>
    <row r="606" spans="1:42" ht="12.75" customHeight="1" x14ac:dyDescent="0.25">
      <c r="A606" s="65"/>
      <c r="B606" s="65"/>
      <c r="C606" s="66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65"/>
      <c r="AF606" s="65"/>
      <c r="AG606" s="65"/>
      <c r="AH606" s="65"/>
      <c r="AI606" s="65"/>
      <c r="AJ606" s="65"/>
      <c r="AK606" s="65"/>
      <c r="AL606" s="65"/>
      <c r="AM606" s="65"/>
      <c r="AN606" s="65"/>
      <c r="AO606" s="65"/>
      <c r="AP606" s="65"/>
    </row>
    <row r="607" spans="1:42" ht="12.75" customHeight="1" x14ac:dyDescent="0.25">
      <c r="A607" s="65"/>
      <c r="B607" s="65"/>
      <c r="C607" s="66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65"/>
      <c r="AG607" s="65"/>
      <c r="AH607" s="65"/>
      <c r="AI607" s="65"/>
      <c r="AJ607" s="65"/>
      <c r="AK607" s="65"/>
      <c r="AL607" s="65"/>
      <c r="AM607" s="65"/>
      <c r="AN607" s="65"/>
      <c r="AO607" s="65"/>
      <c r="AP607" s="65"/>
    </row>
    <row r="608" spans="1:42" ht="12.75" customHeight="1" x14ac:dyDescent="0.25">
      <c r="A608" s="65"/>
      <c r="B608" s="65"/>
      <c r="C608" s="66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65"/>
      <c r="AF608" s="65"/>
      <c r="AG608" s="65"/>
      <c r="AH608" s="65"/>
      <c r="AI608" s="65"/>
      <c r="AJ608" s="65"/>
      <c r="AK608" s="65"/>
      <c r="AL608" s="65"/>
      <c r="AM608" s="65"/>
      <c r="AN608" s="65"/>
      <c r="AO608" s="65"/>
      <c r="AP608" s="65"/>
    </row>
    <row r="609" spans="1:42" ht="12.75" customHeight="1" x14ac:dyDescent="0.25">
      <c r="A609" s="65"/>
      <c r="B609" s="65"/>
      <c r="C609" s="66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65"/>
      <c r="AF609" s="65"/>
      <c r="AG609" s="65"/>
      <c r="AH609" s="65"/>
      <c r="AI609" s="65"/>
      <c r="AJ609" s="65"/>
      <c r="AK609" s="65"/>
      <c r="AL609" s="65"/>
      <c r="AM609" s="65"/>
      <c r="AN609" s="65"/>
      <c r="AO609" s="65"/>
      <c r="AP609" s="65"/>
    </row>
    <row r="610" spans="1:42" ht="12.75" customHeight="1" x14ac:dyDescent="0.25">
      <c r="A610" s="65"/>
      <c r="B610" s="65"/>
      <c r="C610" s="66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  <c r="AJ610" s="65"/>
      <c r="AK610" s="65"/>
      <c r="AL610" s="65"/>
      <c r="AM610" s="65"/>
      <c r="AN610" s="65"/>
      <c r="AO610" s="65"/>
      <c r="AP610" s="65"/>
    </row>
    <row r="611" spans="1:42" ht="12.75" customHeight="1" x14ac:dyDescent="0.25">
      <c r="A611" s="65"/>
      <c r="B611" s="65"/>
      <c r="C611" s="66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  <c r="AJ611" s="65"/>
      <c r="AK611" s="65"/>
      <c r="AL611" s="65"/>
      <c r="AM611" s="65"/>
      <c r="AN611" s="65"/>
      <c r="AO611" s="65"/>
      <c r="AP611" s="65"/>
    </row>
    <row r="612" spans="1:42" ht="12.75" customHeight="1" x14ac:dyDescent="0.25">
      <c r="A612" s="65"/>
      <c r="B612" s="65"/>
      <c r="C612" s="66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65"/>
      <c r="AG612" s="65"/>
      <c r="AH612" s="65"/>
      <c r="AI612" s="65"/>
      <c r="AJ612" s="65"/>
      <c r="AK612" s="65"/>
      <c r="AL612" s="65"/>
      <c r="AM612" s="65"/>
      <c r="AN612" s="65"/>
      <c r="AO612" s="65"/>
      <c r="AP612" s="65"/>
    </row>
    <row r="613" spans="1:42" ht="12.75" customHeight="1" x14ac:dyDescent="0.25">
      <c r="A613" s="65"/>
      <c r="B613" s="65"/>
      <c r="C613" s="66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65"/>
      <c r="AF613" s="65"/>
      <c r="AG613" s="65"/>
      <c r="AH613" s="65"/>
      <c r="AI613" s="65"/>
      <c r="AJ613" s="65"/>
      <c r="AK613" s="65"/>
      <c r="AL613" s="65"/>
      <c r="AM613" s="65"/>
      <c r="AN613" s="65"/>
      <c r="AO613" s="65"/>
      <c r="AP613" s="65"/>
    </row>
    <row r="614" spans="1:42" ht="12.75" customHeight="1" x14ac:dyDescent="0.25">
      <c r="A614" s="65"/>
      <c r="B614" s="65"/>
      <c r="C614" s="66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65"/>
      <c r="AG614" s="65"/>
      <c r="AH614" s="65"/>
      <c r="AI614" s="65"/>
      <c r="AJ614" s="65"/>
      <c r="AK614" s="65"/>
      <c r="AL614" s="65"/>
      <c r="AM614" s="65"/>
      <c r="AN614" s="65"/>
      <c r="AO614" s="65"/>
      <c r="AP614" s="65"/>
    </row>
    <row r="615" spans="1:42" ht="12.75" customHeight="1" x14ac:dyDescent="0.25">
      <c r="A615" s="65"/>
      <c r="B615" s="65"/>
      <c r="C615" s="66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  <c r="AJ615" s="65"/>
      <c r="AK615" s="65"/>
      <c r="AL615" s="65"/>
      <c r="AM615" s="65"/>
      <c r="AN615" s="65"/>
      <c r="AO615" s="65"/>
      <c r="AP615" s="65"/>
    </row>
    <row r="616" spans="1:42" ht="12.75" customHeight="1" x14ac:dyDescent="0.25">
      <c r="A616" s="65"/>
      <c r="B616" s="65"/>
      <c r="C616" s="66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65"/>
      <c r="AG616" s="65"/>
      <c r="AH616" s="65"/>
      <c r="AI616" s="65"/>
      <c r="AJ616" s="65"/>
      <c r="AK616" s="65"/>
      <c r="AL616" s="65"/>
      <c r="AM616" s="65"/>
      <c r="AN616" s="65"/>
      <c r="AO616" s="65"/>
      <c r="AP616" s="65"/>
    </row>
    <row r="617" spans="1:42" ht="12.75" customHeight="1" x14ac:dyDescent="0.25">
      <c r="A617" s="65"/>
      <c r="B617" s="65"/>
      <c r="C617" s="66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65"/>
      <c r="AF617" s="65"/>
      <c r="AG617" s="65"/>
      <c r="AH617" s="65"/>
      <c r="AI617" s="65"/>
      <c r="AJ617" s="65"/>
      <c r="AK617" s="65"/>
      <c r="AL617" s="65"/>
      <c r="AM617" s="65"/>
      <c r="AN617" s="65"/>
      <c r="AO617" s="65"/>
      <c r="AP617" s="65"/>
    </row>
    <row r="618" spans="1:42" ht="12.75" customHeight="1" x14ac:dyDescent="0.25">
      <c r="A618" s="65"/>
      <c r="B618" s="65"/>
      <c r="C618" s="66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5"/>
      <c r="AK618" s="65"/>
      <c r="AL618" s="65"/>
      <c r="AM618" s="65"/>
      <c r="AN618" s="65"/>
      <c r="AO618" s="65"/>
      <c r="AP618" s="65"/>
    </row>
    <row r="619" spans="1:42" ht="12.75" customHeight="1" x14ac:dyDescent="0.25">
      <c r="A619" s="65"/>
      <c r="B619" s="65"/>
      <c r="C619" s="66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  <c r="AJ619" s="65"/>
      <c r="AK619" s="65"/>
      <c r="AL619" s="65"/>
      <c r="AM619" s="65"/>
      <c r="AN619" s="65"/>
      <c r="AO619" s="65"/>
      <c r="AP619" s="65"/>
    </row>
    <row r="620" spans="1:42" ht="12.75" customHeight="1" x14ac:dyDescent="0.25">
      <c r="A620" s="65"/>
      <c r="B620" s="65"/>
      <c r="C620" s="66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  <c r="AJ620" s="65"/>
      <c r="AK620" s="65"/>
      <c r="AL620" s="65"/>
      <c r="AM620" s="65"/>
      <c r="AN620" s="65"/>
      <c r="AO620" s="65"/>
      <c r="AP620" s="65"/>
    </row>
    <row r="621" spans="1:42" ht="12.75" customHeight="1" x14ac:dyDescent="0.25">
      <c r="A621" s="65"/>
      <c r="B621" s="65"/>
      <c r="C621" s="66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65"/>
      <c r="AF621" s="65"/>
      <c r="AG621" s="65"/>
      <c r="AH621" s="65"/>
      <c r="AI621" s="65"/>
      <c r="AJ621" s="65"/>
      <c r="AK621" s="65"/>
      <c r="AL621" s="65"/>
      <c r="AM621" s="65"/>
      <c r="AN621" s="65"/>
      <c r="AO621" s="65"/>
      <c r="AP621" s="65"/>
    </row>
    <row r="622" spans="1:42" ht="12.75" customHeight="1" x14ac:dyDescent="0.25">
      <c r="A622" s="65"/>
      <c r="B622" s="65"/>
      <c r="C622" s="66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65"/>
      <c r="AG622" s="65"/>
      <c r="AH622" s="65"/>
      <c r="AI622" s="65"/>
      <c r="AJ622" s="65"/>
      <c r="AK622" s="65"/>
      <c r="AL622" s="65"/>
      <c r="AM622" s="65"/>
      <c r="AN622" s="65"/>
      <c r="AO622" s="65"/>
      <c r="AP622" s="65"/>
    </row>
    <row r="623" spans="1:42" ht="12.75" customHeight="1" x14ac:dyDescent="0.25">
      <c r="A623" s="65"/>
      <c r="B623" s="65"/>
      <c r="C623" s="66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65"/>
      <c r="AF623" s="65"/>
      <c r="AG623" s="65"/>
      <c r="AH623" s="65"/>
      <c r="AI623" s="65"/>
      <c r="AJ623" s="65"/>
      <c r="AK623" s="65"/>
      <c r="AL623" s="65"/>
      <c r="AM623" s="65"/>
      <c r="AN623" s="65"/>
      <c r="AO623" s="65"/>
      <c r="AP623" s="65"/>
    </row>
    <row r="624" spans="1:42" ht="12.75" customHeight="1" x14ac:dyDescent="0.25">
      <c r="A624" s="65"/>
      <c r="B624" s="65"/>
      <c r="C624" s="66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65"/>
      <c r="AG624" s="65"/>
      <c r="AH624" s="65"/>
      <c r="AI624" s="65"/>
      <c r="AJ624" s="65"/>
      <c r="AK624" s="65"/>
      <c r="AL624" s="65"/>
      <c r="AM624" s="65"/>
      <c r="AN624" s="65"/>
      <c r="AO624" s="65"/>
      <c r="AP624" s="65"/>
    </row>
    <row r="625" spans="1:42" ht="12.75" customHeight="1" x14ac:dyDescent="0.25">
      <c r="A625" s="65"/>
      <c r="B625" s="65"/>
      <c r="C625" s="66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  <c r="AJ625" s="65"/>
      <c r="AK625" s="65"/>
      <c r="AL625" s="65"/>
      <c r="AM625" s="65"/>
      <c r="AN625" s="65"/>
      <c r="AO625" s="65"/>
      <c r="AP625" s="65"/>
    </row>
    <row r="626" spans="1:42" ht="12.75" customHeight="1" x14ac:dyDescent="0.25">
      <c r="A626" s="65"/>
      <c r="B626" s="65"/>
      <c r="C626" s="66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  <c r="AJ626" s="65"/>
      <c r="AK626" s="65"/>
      <c r="AL626" s="65"/>
      <c r="AM626" s="65"/>
      <c r="AN626" s="65"/>
      <c r="AO626" s="65"/>
      <c r="AP626" s="65"/>
    </row>
    <row r="627" spans="1:42" ht="12.75" customHeight="1" x14ac:dyDescent="0.25">
      <c r="A627" s="65"/>
      <c r="B627" s="65"/>
      <c r="C627" s="66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  <c r="AJ627" s="65"/>
      <c r="AK627" s="65"/>
      <c r="AL627" s="65"/>
      <c r="AM627" s="65"/>
      <c r="AN627" s="65"/>
      <c r="AO627" s="65"/>
      <c r="AP627" s="65"/>
    </row>
    <row r="628" spans="1:42" ht="12.75" customHeight="1" x14ac:dyDescent="0.25">
      <c r="A628" s="65"/>
      <c r="B628" s="65"/>
      <c r="C628" s="66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  <c r="AJ628" s="65"/>
      <c r="AK628" s="65"/>
      <c r="AL628" s="65"/>
      <c r="AM628" s="65"/>
      <c r="AN628" s="65"/>
      <c r="AO628" s="65"/>
      <c r="AP628" s="65"/>
    </row>
    <row r="629" spans="1:42" ht="12.75" customHeight="1" x14ac:dyDescent="0.25">
      <c r="A629" s="65"/>
      <c r="B629" s="65"/>
      <c r="C629" s="66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  <c r="AJ629" s="65"/>
      <c r="AK629" s="65"/>
      <c r="AL629" s="65"/>
      <c r="AM629" s="65"/>
      <c r="AN629" s="65"/>
      <c r="AO629" s="65"/>
      <c r="AP629" s="65"/>
    </row>
    <row r="630" spans="1:42" ht="12.75" customHeight="1" x14ac:dyDescent="0.25">
      <c r="A630" s="65"/>
      <c r="B630" s="65"/>
      <c r="C630" s="66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65"/>
      <c r="AG630" s="65"/>
      <c r="AH630" s="65"/>
      <c r="AI630" s="65"/>
      <c r="AJ630" s="65"/>
      <c r="AK630" s="65"/>
      <c r="AL630" s="65"/>
      <c r="AM630" s="65"/>
      <c r="AN630" s="65"/>
      <c r="AO630" s="65"/>
      <c r="AP630" s="65"/>
    </row>
    <row r="631" spans="1:42" ht="12.75" customHeight="1" x14ac:dyDescent="0.25">
      <c r="A631" s="65"/>
      <c r="B631" s="65"/>
      <c r="C631" s="66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  <c r="AJ631" s="65"/>
      <c r="AK631" s="65"/>
      <c r="AL631" s="65"/>
      <c r="AM631" s="65"/>
      <c r="AN631" s="65"/>
      <c r="AO631" s="65"/>
      <c r="AP631" s="65"/>
    </row>
    <row r="632" spans="1:42" ht="12.75" customHeight="1" x14ac:dyDescent="0.25">
      <c r="A632" s="65"/>
      <c r="B632" s="65"/>
      <c r="C632" s="66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  <c r="AJ632" s="65"/>
      <c r="AK632" s="65"/>
      <c r="AL632" s="65"/>
      <c r="AM632" s="65"/>
      <c r="AN632" s="65"/>
      <c r="AO632" s="65"/>
      <c r="AP632" s="65"/>
    </row>
    <row r="633" spans="1:42" ht="12.75" customHeight="1" x14ac:dyDescent="0.25">
      <c r="A633" s="65"/>
      <c r="B633" s="65"/>
      <c r="C633" s="66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  <c r="AJ633" s="65"/>
      <c r="AK633" s="65"/>
      <c r="AL633" s="65"/>
      <c r="AM633" s="65"/>
      <c r="AN633" s="65"/>
      <c r="AO633" s="65"/>
      <c r="AP633" s="65"/>
    </row>
    <row r="634" spans="1:42" ht="12.75" customHeight="1" x14ac:dyDescent="0.25">
      <c r="A634" s="65"/>
      <c r="B634" s="65"/>
      <c r="C634" s="66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65"/>
      <c r="AF634" s="65"/>
      <c r="AG634" s="65"/>
      <c r="AH634" s="65"/>
      <c r="AI634" s="65"/>
      <c r="AJ634" s="65"/>
      <c r="AK634" s="65"/>
      <c r="AL634" s="65"/>
      <c r="AM634" s="65"/>
      <c r="AN634" s="65"/>
      <c r="AO634" s="65"/>
      <c r="AP634" s="65"/>
    </row>
    <row r="635" spans="1:42" ht="12.75" customHeight="1" x14ac:dyDescent="0.25">
      <c r="A635" s="65"/>
      <c r="B635" s="65"/>
      <c r="C635" s="66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  <c r="AJ635" s="65"/>
      <c r="AK635" s="65"/>
      <c r="AL635" s="65"/>
      <c r="AM635" s="65"/>
      <c r="AN635" s="65"/>
      <c r="AO635" s="65"/>
      <c r="AP635" s="65"/>
    </row>
    <row r="636" spans="1:42" ht="12.75" customHeight="1" x14ac:dyDescent="0.25">
      <c r="A636" s="65"/>
      <c r="B636" s="65"/>
      <c r="C636" s="66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65"/>
      <c r="AF636" s="65"/>
      <c r="AG636" s="65"/>
      <c r="AH636" s="65"/>
      <c r="AI636" s="65"/>
      <c r="AJ636" s="65"/>
      <c r="AK636" s="65"/>
      <c r="AL636" s="65"/>
      <c r="AM636" s="65"/>
      <c r="AN636" s="65"/>
      <c r="AO636" s="65"/>
      <c r="AP636" s="65"/>
    </row>
    <row r="637" spans="1:42" ht="12.75" customHeight="1" x14ac:dyDescent="0.25">
      <c r="A637" s="65"/>
      <c r="B637" s="65"/>
      <c r="C637" s="66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  <c r="AJ637" s="65"/>
      <c r="AK637" s="65"/>
      <c r="AL637" s="65"/>
      <c r="AM637" s="65"/>
      <c r="AN637" s="65"/>
      <c r="AO637" s="65"/>
      <c r="AP637" s="65"/>
    </row>
    <row r="638" spans="1:42" ht="12.75" customHeight="1" x14ac:dyDescent="0.25">
      <c r="A638" s="65"/>
      <c r="B638" s="65"/>
      <c r="C638" s="66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65"/>
      <c r="AF638" s="65"/>
      <c r="AG638" s="65"/>
      <c r="AH638" s="65"/>
      <c r="AI638" s="65"/>
      <c r="AJ638" s="65"/>
      <c r="AK638" s="65"/>
      <c r="AL638" s="65"/>
      <c r="AM638" s="65"/>
      <c r="AN638" s="65"/>
      <c r="AO638" s="65"/>
      <c r="AP638" s="65"/>
    </row>
    <row r="639" spans="1:42" ht="12.75" customHeight="1" x14ac:dyDescent="0.25">
      <c r="A639" s="65"/>
      <c r="B639" s="65"/>
      <c r="C639" s="66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5"/>
      <c r="AK639" s="65"/>
      <c r="AL639" s="65"/>
      <c r="AM639" s="65"/>
      <c r="AN639" s="65"/>
      <c r="AO639" s="65"/>
      <c r="AP639" s="65"/>
    </row>
    <row r="640" spans="1:42" ht="12.75" customHeight="1" x14ac:dyDescent="0.25">
      <c r="A640" s="65"/>
      <c r="B640" s="65"/>
      <c r="C640" s="66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  <c r="AJ640" s="65"/>
      <c r="AK640" s="65"/>
      <c r="AL640" s="65"/>
      <c r="AM640" s="65"/>
      <c r="AN640" s="65"/>
      <c r="AO640" s="65"/>
      <c r="AP640" s="65"/>
    </row>
    <row r="641" spans="1:42" ht="12.75" customHeight="1" x14ac:dyDescent="0.25">
      <c r="A641" s="65"/>
      <c r="B641" s="65"/>
      <c r="C641" s="66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5"/>
      <c r="AK641" s="65"/>
      <c r="AL641" s="65"/>
      <c r="AM641" s="65"/>
      <c r="AN641" s="65"/>
      <c r="AO641" s="65"/>
      <c r="AP641" s="65"/>
    </row>
    <row r="642" spans="1:42" ht="12.75" customHeight="1" x14ac:dyDescent="0.25">
      <c r="A642" s="65"/>
      <c r="B642" s="65"/>
      <c r="C642" s="66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  <c r="AJ642" s="65"/>
      <c r="AK642" s="65"/>
      <c r="AL642" s="65"/>
      <c r="AM642" s="65"/>
      <c r="AN642" s="65"/>
      <c r="AO642" s="65"/>
      <c r="AP642" s="65"/>
    </row>
    <row r="643" spans="1:42" ht="12.75" customHeight="1" x14ac:dyDescent="0.25">
      <c r="A643" s="65"/>
      <c r="B643" s="65"/>
      <c r="C643" s="66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  <c r="AJ643" s="65"/>
      <c r="AK643" s="65"/>
      <c r="AL643" s="65"/>
      <c r="AM643" s="65"/>
      <c r="AN643" s="65"/>
      <c r="AO643" s="65"/>
      <c r="AP643" s="65"/>
    </row>
    <row r="644" spans="1:42" ht="12.75" customHeight="1" x14ac:dyDescent="0.25">
      <c r="A644" s="65"/>
      <c r="B644" s="65"/>
      <c r="C644" s="66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  <c r="AJ644" s="65"/>
      <c r="AK644" s="65"/>
      <c r="AL644" s="65"/>
      <c r="AM644" s="65"/>
      <c r="AN644" s="65"/>
      <c r="AO644" s="65"/>
      <c r="AP644" s="65"/>
    </row>
    <row r="645" spans="1:42" ht="12.75" customHeight="1" x14ac:dyDescent="0.25">
      <c r="A645" s="65"/>
      <c r="B645" s="65"/>
      <c r="C645" s="66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65"/>
      <c r="AG645" s="65"/>
      <c r="AH645" s="65"/>
      <c r="AI645" s="65"/>
      <c r="AJ645" s="65"/>
      <c r="AK645" s="65"/>
      <c r="AL645" s="65"/>
      <c r="AM645" s="65"/>
      <c r="AN645" s="65"/>
      <c r="AO645" s="65"/>
      <c r="AP645" s="65"/>
    </row>
    <row r="646" spans="1:42" ht="12.75" customHeight="1" x14ac:dyDescent="0.25">
      <c r="A646" s="65"/>
      <c r="B646" s="65"/>
      <c r="C646" s="66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  <c r="AJ646" s="65"/>
      <c r="AK646" s="65"/>
      <c r="AL646" s="65"/>
      <c r="AM646" s="65"/>
      <c r="AN646" s="65"/>
      <c r="AO646" s="65"/>
      <c r="AP646" s="65"/>
    </row>
    <row r="647" spans="1:42" ht="12.75" customHeight="1" x14ac:dyDescent="0.25">
      <c r="A647" s="65"/>
      <c r="B647" s="65"/>
      <c r="C647" s="66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65"/>
      <c r="AG647" s="65"/>
      <c r="AH647" s="65"/>
      <c r="AI647" s="65"/>
      <c r="AJ647" s="65"/>
      <c r="AK647" s="65"/>
      <c r="AL647" s="65"/>
      <c r="AM647" s="65"/>
      <c r="AN647" s="65"/>
      <c r="AO647" s="65"/>
      <c r="AP647" s="65"/>
    </row>
    <row r="648" spans="1:42" ht="12.75" customHeight="1" x14ac:dyDescent="0.25">
      <c r="A648" s="65"/>
      <c r="B648" s="65"/>
      <c r="C648" s="66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65"/>
      <c r="AF648" s="65"/>
      <c r="AG648" s="65"/>
      <c r="AH648" s="65"/>
      <c r="AI648" s="65"/>
      <c r="AJ648" s="65"/>
      <c r="AK648" s="65"/>
      <c r="AL648" s="65"/>
      <c r="AM648" s="65"/>
      <c r="AN648" s="65"/>
      <c r="AO648" s="65"/>
      <c r="AP648" s="65"/>
    </row>
    <row r="649" spans="1:42" ht="12.75" customHeight="1" x14ac:dyDescent="0.25">
      <c r="A649" s="65"/>
      <c r="B649" s="65"/>
      <c r="C649" s="66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  <c r="AJ649" s="65"/>
      <c r="AK649" s="65"/>
      <c r="AL649" s="65"/>
      <c r="AM649" s="65"/>
      <c r="AN649" s="65"/>
      <c r="AO649" s="65"/>
      <c r="AP649" s="65"/>
    </row>
    <row r="650" spans="1:42" ht="12.75" customHeight="1" x14ac:dyDescent="0.25">
      <c r="A650" s="65"/>
      <c r="B650" s="65"/>
      <c r="C650" s="66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65"/>
      <c r="AF650" s="65"/>
      <c r="AG650" s="65"/>
      <c r="AH650" s="65"/>
      <c r="AI650" s="65"/>
      <c r="AJ650" s="65"/>
      <c r="AK650" s="65"/>
      <c r="AL650" s="65"/>
      <c r="AM650" s="65"/>
      <c r="AN650" s="65"/>
      <c r="AO650" s="65"/>
      <c r="AP650" s="65"/>
    </row>
    <row r="651" spans="1:42" ht="12.75" customHeight="1" x14ac:dyDescent="0.25">
      <c r="A651" s="65"/>
      <c r="B651" s="65"/>
      <c r="C651" s="66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65"/>
      <c r="AG651" s="65"/>
      <c r="AH651" s="65"/>
      <c r="AI651" s="65"/>
      <c r="AJ651" s="65"/>
      <c r="AK651" s="65"/>
      <c r="AL651" s="65"/>
      <c r="AM651" s="65"/>
      <c r="AN651" s="65"/>
      <c r="AO651" s="65"/>
      <c r="AP651" s="65"/>
    </row>
    <row r="652" spans="1:42" ht="12.75" customHeight="1" x14ac:dyDescent="0.25">
      <c r="A652" s="65"/>
      <c r="B652" s="65"/>
      <c r="C652" s="66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65"/>
      <c r="AF652" s="65"/>
      <c r="AG652" s="65"/>
      <c r="AH652" s="65"/>
      <c r="AI652" s="65"/>
      <c r="AJ652" s="65"/>
      <c r="AK652" s="65"/>
      <c r="AL652" s="65"/>
      <c r="AM652" s="65"/>
      <c r="AN652" s="65"/>
      <c r="AO652" s="65"/>
      <c r="AP652" s="65"/>
    </row>
    <row r="653" spans="1:42" ht="12.75" customHeight="1" x14ac:dyDescent="0.25">
      <c r="A653" s="65"/>
      <c r="B653" s="65"/>
      <c r="C653" s="66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65"/>
      <c r="AG653" s="65"/>
      <c r="AH653" s="65"/>
      <c r="AI653" s="65"/>
      <c r="AJ653" s="65"/>
      <c r="AK653" s="65"/>
      <c r="AL653" s="65"/>
      <c r="AM653" s="65"/>
      <c r="AN653" s="65"/>
      <c r="AO653" s="65"/>
      <c r="AP653" s="65"/>
    </row>
    <row r="654" spans="1:42" ht="12.75" customHeight="1" x14ac:dyDescent="0.25">
      <c r="A654" s="65"/>
      <c r="B654" s="65"/>
      <c r="C654" s="66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65"/>
      <c r="AF654" s="65"/>
      <c r="AG654" s="65"/>
      <c r="AH654" s="65"/>
      <c r="AI654" s="65"/>
      <c r="AJ654" s="65"/>
      <c r="AK654" s="65"/>
      <c r="AL654" s="65"/>
      <c r="AM654" s="65"/>
      <c r="AN654" s="65"/>
      <c r="AO654" s="65"/>
      <c r="AP654" s="65"/>
    </row>
    <row r="655" spans="1:42" ht="12.75" customHeight="1" x14ac:dyDescent="0.25">
      <c r="A655" s="65"/>
      <c r="B655" s="65"/>
      <c r="C655" s="66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  <c r="AJ655" s="65"/>
      <c r="AK655" s="65"/>
      <c r="AL655" s="65"/>
      <c r="AM655" s="65"/>
      <c r="AN655" s="65"/>
      <c r="AO655" s="65"/>
      <c r="AP655" s="65"/>
    </row>
    <row r="656" spans="1:42" ht="12.75" customHeight="1" x14ac:dyDescent="0.25">
      <c r="A656" s="65"/>
      <c r="B656" s="65"/>
      <c r="C656" s="66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  <c r="AJ656" s="65"/>
      <c r="AK656" s="65"/>
      <c r="AL656" s="65"/>
      <c r="AM656" s="65"/>
      <c r="AN656" s="65"/>
      <c r="AO656" s="65"/>
      <c r="AP656" s="65"/>
    </row>
    <row r="657" spans="1:42" ht="12.75" customHeight="1" x14ac:dyDescent="0.25">
      <c r="A657" s="65"/>
      <c r="B657" s="65"/>
      <c r="C657" s="66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  <c r="AJ657" s="65"/>
      <c r="AK657" s="65"/>
      <c r="AL657" s="65"/>
      <c r="AM657" s="65"/>
      <c r="AN657" s="65"/>
      <c r="AO657" s="65"/>
      <c r="AP657" s="65"/>
    </row>
    <row r="658" spans="1:42" ht="12.75" customHeight="1" x14ac:dyDescent="0.25">
      <c r="A658" s="65"/>
      <c r="B658" s="65"/>
      <c r="C658" s="66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65"/>
      <c r="AF658" s="65"/>
      <c r="AG658" s="65"/>
      <c r="AH658" s="65"/>
      <c r="AI658" s="65"/>
      <c r="AJ658" s="65"/>
      <c r="AK658" s="65"/>
      <c r="AL658" s="65"/>
      <c r="AM658" s="65"/>
      <c r="AN658" s="65"/>
      <c r="AO658" s="65"/>
      <c r="AP658" s="65"/>
    </row>
    <row r="659" spans="1:42" ht="12.75" customHeight="1" x14ac:dyDescent="0.25">
      <c r="A659" s="65"/>
      <c r="B659" s="65"/>
      <c r="C659" s="66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65"/>
      <c r="AG659" s="65"/>
      <c r="AH659" s="65"/>
      <c r="AI659" s="65"/>
      <c r="AJ659" s="65"/>
      <c r="AK659" s="65"/>
      <c r="AL659" s="65"/>
      <c r="AM659" s="65"/>
      <c r="AN659" s="65"/>
      <c r="AO659" s="65"/>
      <c r="AP659" s="65"/>
    </row>
    <row r="660" spans="1:42" ht="12.75" customHeight="1" x14ac:dyDescent="0.25">
      <c r="A660" s="65"/>
      <c r="B660" s="65"/>
      <c r="C660" s="66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65"/>
      <c r="AF660" s="65"/>
      <c r="AG660" s="65"/>
      <c r="AH660" s="65"/>
      <c r="AI660" s="65"/>
      <c r="AJ660" s="65"/>
      <c r="AK660" s="65"/>
      <c r="AL660" s="65"/>
      <c r="AM660" s="65"/>
      <c r="AN660" s="65"/>
      <c r="AO660" s="65"/>
      <c r="AP660" s="65"/>
    </row>
    <row r="661" spans="1:42" ht="12.75" customHeight="1" x14ac:dyDescent="0.25">
      <c r="A661" s="65"/>
      <c r="B661" s="65"/>
      <c r="C661" s="66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65"/>
      <c r="AG661" s="65"/>
      <c r="AH661" s="65"/>
      <c r="AI661" s="65"/>
      <c r="AJ661" s="65"/>
      <c r="AK661" s="65"/>
      <c r="AL661" s="65"/>
      <c r="AM661" s="65"/>
      <c r="AN661" s="65"/>
      <c r="AO661" s="65"/>
      <c r="AP661" s="65"/>
    </row>
    <row r="662" spans="1:42" ht="12.75" customHeight="1" x14ac:dyDescent="0.25">
      <c r="A662" s="65"/>
      <c r="B662" s="65"/>
      <c r="C662" s="66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  <c r="AE662" s="65"/>
      <c r="AF662" s="65"/>
      <c r="AG662" s="65"/>
      <c r="AH662" s="65"/>
      <c r="AI662" s="65"/>
      <c r="AJ662" s="65"/>
      <c r="AK662" s="65"/>
      <c r="AL662" s="65"/>
      <c r="AM662" s="65"/>
      <c r="AN662" s="65"/>
      <c r="AO662" s="65"/>
      <c r="AP662" s="65"/>
    </row>
    <row r="663" spans="1:42" ht="12.75" customHeight="1" x14ac:dyDescent="0.25">
      <c r="A663" s="65"/>
      <c r="B663" s="65"/>
      <c r="C663" s="66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65"/>
      <c r="AG663" s="65"/>
      <c r="AH663" s="65"/>
      <c r="AI663" s="65"/>
      <c r="AJ663" s="65"/>
      <c r="AK663" s="65"/>
      <c r="AL663" s="65"/>
      <c r="AM663" s="65"/>
      <c r="AN663" s="65"/>
      <c r="AO663" s="65"/>
      <c r="AP663" s="65"/>
    </row>
    <row r="664" spans="1:42" ht="12.75" customHeight="1" x14ac:dyDescent="0.25">
      <c r="A664" s="65"/>
      <c r="B664" s="65"/>
      <c r="C664" s="66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  <c r="AJ664" s="65"/>
      <c r="AK664" s="65"/>
      <c r="AL664" s="65"/>
      <c r="AM664" s="65"/>
      <c r="AN664" s="65"/>
      <c r="AO664" s="65"/>
      <c r="AP664" s="65"/>
    </row>
    <row r="665" spans="1:42" ht="12.75" customHeight="1" x14ac:dyDescent="0.25">
      <c r="A665" s="65"/>
      <c r="B665" s="65"/>
      <c r="C665" s="66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  <c r="AE665" s="65"/>
      <c r="AF665" s="65"/>
      <c r="AG665" s="65"/>
      <c r="AH665" s="65"/>
      <c r="AI665" s="65"/>
      <c r="AJ665" s="65"/>
      <c r="AK665" s="65"/>
      <c r="AL665" s="65"/>
      <c r="AM665" s="65"/>
      <c r="AN665" s="65"/>
      <c r="AO665" s="65"/>
      <c r="AP665" s="65"/>
    </row>
    <row r="666" spans="1:42" ht="12.75" customHeight="1" x14ac:dyDescent="0.25">
      <c r="A666" s="65"/>
      <c r="B666" s="65"/>
      <c r="C666" s="66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  <c r="AJ666" s="65"/>
      <c r="AK666" s="65"/>
      <c r="AL666" s="65"/>
      <c r="AM666" s="65"/>
      <c r="AN666" s="65"/>
      <c r="AO666" s="65"/>
      <c r="AP666" s="65"/>
    </row>
    <row r="667" spans="1:42" ht="12.75" customHeight="1" x14ac:dyDescent="0.25">
      <c r="A667" s="65"/>
      <c r="B667" s="65"/>
      <c r="C667" s="66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  <c r="AJ667" s="65"/>
      <c r="AK667" s="65"/>
      <c r="AL667" s="65"/>
      <c r="AM667" s="65"/>
      <c r="AN667" s="65"/>
      <c r="AO667" s="65"/>
      <c r="AP667" s="65"/>
    </row>
    <row r="668" spans="1:42" ht="12.75" customHeight="1" x14ac:dyDescent="0.25">
      <c r="A668" s="65"/>
      <c r="B668" s="65"/>
      <c r="C668" s="66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  <c r="AJ668" s="65"/>
      <c r="AK668" s="65"/>
      <c r="AL668" s="65"/>
      <c r="AM668" s="65"/>
      <c r="AN668" s="65"/>
      <c r="AO668" s="65"/>
      <c r="AP668" s="65"/>
    </row>
    <row r="669" spans="1:42" ht="12.75" customHeight="1" x14ac:dyDescent="0.25">
      <c r="A669" s="65"/>
      <c r="B669" s="65"/>
      <c r="C669" s="66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  <c r="AE669" s="65"/>
      <c r="AF669" s="65"/>
      <c r="AG669" s="65"/>
      <c r="AH669" s="65"/>
      <c r="AI669" s="65"/>
      <c r="AJ669" s="65"/>
      <c r="AK669" s="65"/>
      <c r="AL669" s="65"/>
      <c r="AM669" s="65"/>
      <c r="AN669" s="65"/>
      <c r="AO669" s="65"/>
      <c r="AP669" s="65"/>
    </row>
    <row r="670" spans="1:42" ht="12.75" customHeight="1" x14ac:dyDescent="0.25">
      <c r="A670" s="65"/>
      <c r="B670" s="65"/>
      <c r="C670" s="66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  <c r="AE670" s="65"/>
      <c r="AF670" s="65"/>
      <c r="AG670" s="65"/>
      <c r="AH670" s="65"/>
      <c r="AI670" s="65"/>
      <c r="AJ670" s="65"/>
      <c r="AK670" s="65"/>
      <c r="AL670" s="65"/>
      <c r="AM670" s="65"/>
      <c r="AN670" s="65"/>
      <c r="AO670" s="65"/>
      <c r="AP670" s="65"/>
    </row>
    <row r="671" spans="1:42" ht="12.75" customHeight="1" x14ac:dyDescent="0.25">
      <c r="A671" s="65"/>
      <c r="B671" s="65"/>
      <c r="C671" s="66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65"/>
      <c r="AG671" s="65"/>
      <c r="AH671" s="65"/>
      <c r="AI671" s="65"/>
      <c r="AJ671" s="65"/>
      <c r="AK671" s="65"/>
      <c r="AL671" s="65"/>
      <c r="AM671" s="65"/>
      <c r="AN671" s="65"/>
      <c r="AO671" s="65"/>
      <c r="AP671" s="65"/>
    </row>
    <row r="672" spans="1:42" ht="12.75" customHeight="1" x14ac:dyDescent="0.25">
      <c r="A672" s="65"/>
      <c r="B672" s="65"/>
      <c r="C672" s="66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  <c r="AE672" s="65"/>
      <c r="AF672" s="65"/>
      <c r="AG672" s="65"/>
      <c r="AH672" s="65"/>
      <c r="AI672" s="65"/>
      <c r="AJ672" s="65"/>
      <c r="AK672" s="65"/>
      <c r="AL672" s="65"/>
      <c r="AM672" s="65"/>
      <c r="AN672" s="65"/>
      <c r="AO672" s="65"/>
      <c r="AP672" s="65"/>
    </row>
    <row r="673" spans="1:42" ht="12.75" customHeight="1" x14ac:dyDescent="0.25">
      <c r="A673" s="65"/>
      <c r="B673" s="65"/>
      <c r="C673" s="66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65"/>
      <c r="AG673" s="65"/>
      <c r="AH673" s="65"/>
      <c r="AI673" s="65"/>
      <c r="AJ673" s="65"/>
      <c r="AK673" s="65"/>
      <c r="AL673" s="65"/>
      <c r="AM673" s="65"/>
      <c r="AN673" s="65"/>
      <c r="AO673" s="65"/>
      <c r="AP673" s="65"/>
    </row>
    <row r="674" spans="1:42" ht="12.75" customHeight="1" x14ac:dyDescent="0.25">
      <c r="A674" s="65"/>
      <c r="B674" s="65"/>
      <c r="C674" s="66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  <c r="AE674" s="65"/>
      <c r="AF674" s="65"/>
      <c r="AG674" s="65"/>
      <c r="AH674" s="65"/>
      <c r="AI674" s="65"/>
      <c r="AJ674" s="65"/>
      <c r="AK674" s="65"/>
      <c r="AL674" s="65"/>
      <c r="AM674" s="65"/>
      <c r="AN674" s="65"/>
      <c r="AO674" s="65"/>
      <c r="AP674" s="65"/>
    </row>
    <row r="675" spans="1:42" ht="12.75" customHeight="1" x14ac:dyDescent="0.25">
      <c r="A675" s="65"/>
      <c r="B675" s="65"/>
      <c r="C675" s="66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  <c r="AE675" s="65"/>
      <c r="AF675" s="65"/>
      <c r="AG675" s="65"/>
      <c r="AH675" s="65"/>
      <c r="AI675" s="65"/>
      <c r="AJ675" s="65"/>
      <c r="AK675" s="65"/>
      <c r="AL675" s="65"/>
      <c r="AM675" s="65"/>
      <c r="AN675" s="65"/>
      <c r="AO675" s="65"/>
      <c r="AP675" s="65"/>
    </row>
    <row r="676" spans="1:42" ht="12.75" customHeight="1" x14ac:dyDescent="0.25">
      <c r="A676" s="65"/>
      <c r="B676" s="65"/>
      <c r="C676" s="66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  <c r="AE676" s="65"/>
      <c r="AF676" s="65"/>
      <c r="AG676" s="65"/>
      <c r="AH676" s="65"/>
      <c r="AI676" s="65"/>
      <c r="AJ676" s="65"/>
      <c r="AK676" s="65"/>
      <c r="AL676" s="65"/>
      <c r="AM676" s="65"/>
      <c r="AN676" s="65"/>
      <c r="AO676" s="65"/>
      <c r="AP676" s="65"/>
    </row>
    <row r="677" spans="1:42" ht="12.75" customHeight="1" x14ac:dyDescent="0.25">
      <c r="A677" s="65"/>
      <c r="B677" s="65"/>
      <c r="C677" s="66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  <c r="AE677" s="65"/>
      <c r="AF677" s="65"/>
      <c r="AG677" s="65"/>
      <c r="AH677" s="65"/>
      <c r="AI677" s="65"/>
      <c r="AJ677" s="65"/>
      <c r="AK677" s="65"/>
      <c r="AL677" s="65"/>
      <c r="AM677" s="65"/>
      <c r="AN677" s="65"/>
      <c r="AO677" s="65"/>
      <c r="AP677" s="65"/>
    </row>
    <row r="678" spans="1:42" ht="12.75" customHeight="1" x14ac:dyDescent="0.25">
      <c r="A678" s="65"/>
      <c r="B678" s="65"/>
      <c r="C678" s="66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  <c r="AE678" s="65"/>
      <c r="AF678" s="65"/>
      <c r="AG678" s="65"/>
      <c r="AH678" s="65"/>
      <c r="AI678" s="65"/>
      <c r="AJ678" s="65"/>
      <c r="AK678" s="65"/>
      <c r="AL678" s="65"/>
      <c r="AM678" s="65"/>
      <c r="AN678" s="65"/>
      <c r="AO678" s="65"/>
      <c r="AP678" s="65"/>
    </row>
    <row r="679" spans="1:42" ht="12.75" customHeight="1" x14ac:dyDescent="0.25">
      <c r="A679" s="65"/>
      <c r="B679" s="65"/>
      <c r="C679" s="66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  <c r="AE679" s="65"/>
      <c r="AF679" s="65"/>
      <c r="AG679" s="65"/>
      <c r="AH679" s="65"/>
      <c r="AI679" s="65"/>
      <c r="AJ679" s="65"/>
      <c r="AK679" s="65"/>
      <c r="AL679" s="65"/>
      <c r="AM679" s="65"/>
      <c r="AN679" s="65"/>
      <c r="AO679" s="65"/>
      <c r="AP679" s="65"/>
    </row>
    <row r="680" spans="1:42" ht="12.75" customHeight="1" x14ac:dyDescent="0.25">
      <c r="A680" s="65"/>
      <c r="B680" s="65"/>
      <c r="C680" s="66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  <c r="AE680" s="65"/>
      <c r="AF680" s="65"/>
      <c r="AG680" s="65"/>
      <c r="AH680" s="65"/>
      <c r="AI680" s="65"/>
      <c r="AJ680" s="65"/>
      <c r="AK680" s="65"/>
      <c r="AL680" s="65"/>
      <c r="AM680" s="65"/>
      <c r="AN680" s="65"/>
      <c r="AO680" s="65"/>
      <c r="AP680" s="65"/>
    </row>
    <row r="681" spans="1:42" ht="12.75" customHeight="1" x14ac:dyDescent="0.25">
      <c r="A681" s="65"/>
      <c r="B681" s="65"/>
      <c r="C681" s="66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65"/>
      <c r="AG681" s="65"/>
      <c r="AH681" s="65"/>
      <c r="AI681" s="65"/>
      <c r="AJ681" s="65"/>
      <c r="AK681" s="65"/>
      <c r="AL681" s="65"/>
      <c r="AM681" s="65"/>
      <c r="AN681" s="65"/>
      <c r="AO681" s="65"/>
      <c r="AP681" s="65"/>
    </row>
    <row r="682" spans="1:42" ht="12.75" customHeight="1" x14ac:dyDescent="0.25">
      <c r="A682" s="65"/>
      <c r="B682" s="65"/>
      <c r="C682" s="66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  <c r="AJ682" s="65"/>
      <c r="AK682" s="65"/>
      <c r="AL682" s="65"/>
      <c r="AM682" s="65"/>
      <c r="AN682" s="65"/>
      <c r="AO682" s="65"/>
      <c r="AP682" s="65"/>
    </row>
    <row r="683" spans="1:42" ht="12.75" customHeight="1" x14ac:dyDescent="0.25">
      <c r="A683" s="65"/>
      <c r="B683" s="65"/>
      <c r="C683" s="66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65"/>
      <c r="AG683" s="65"/>
      <c r="AH683" s="65"/>
      <c r="AI683" s="65"/>
      <c r="AJ683" s="65"/>
      <c r="AK683" s="65"/>
      <c r="AL683" s="65"/>
      <c r="AM683" s="65"/>
      <c r="AN683" s="65"/>
      <c r="AO683" s="65"/>
      <c r="AP683" s="65"/>
    </row>
    <row r="684" spans="1:42" ht="12.75" customHeight="1" x14ac:dyDescent="0.25">
      <c r="A684" s="65"/>
      <c r="B684" s="65"/>
      <c r="C684" s="66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  <c r="AE684" s="65"/>
      <c r="AF684" s="65"/>
      <c r="AG684" s="65"/>
      <c r="AH684" s="65"/>
      <c r="AI684" s="65"/>
      <c r="AJ684" s="65"/>
      <c r="AK684" s="65"/>
      <c r="AL684" s="65"/>
      <c r="AM684" s="65"/>
      <c r="AN684" s="65"/>
      <c r="AO684" s="65"/>
      <c r="AP684" s="65"/>
    </row>
    <row r="685" spans="1:42" ht="12.75" customHeight="1" x14ac:dyDescent="0.25">
      <c r="A685" s="65"/>
      <c r="B685" s="65"/>
      <c r="C685" s="66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  <c r="AJ685" s="65"/>
      <c r="AK685" s="65"/>
      <c r="AL685" s="65"/>
      <c r="AM685" s="65"/>
      <c r="AN685" s="65"/>
      <c r="AO685" s="65"/>
      <c r="AP685" s="65"/>
    </row>
    <row r="686" spans="1:42" ht="12.75" customHeight="1" x14ac:dyDescent="0.25">
      <c r="A686" s="65"/>
      <c r="B686" s="65"/>
      <c r="C686" s="66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  <c r="AE686" s="65"/>
      <c r="AF686" s="65"/>
      <c r="AG686" s="65"/>
      <c r="AH686" s="65"/>
      <c r="AI686" s="65"/>
      <c r="AJ686" s="65"/>
      <c r="AK686" s="65"/>
      <c r="AL686" s="65"/>
      <c r="AM686" s="65"/>
      <c r="AN686" s="65"/>
      <c r="AO686" s="65"/>
      <c r="AP686" s="65"/>
    </row>
    <row r="687" spans="1:42" ht="12.75" customHeight="1" x14ac:dyDescent="0.25">
      <c r="A687" s="65"/>
      <c r="B687" s="65"/>
      <c r="C687" s="66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  <c r="AJ687" s="65"/>
      <c r="AK687" s="65"/>
      <c r="AL687" s="65"/>
      <c r="AM687" s="65"/>
      <c r="AN687" s="65"/>
      <c r="AO687" s="65"/>
      <c r="AP687" s="65"/>
    </row>
    <row r="688" spans="1:42" ht="12.75" customHeight="1" x14ac:dyDescent="0.25">
      <c r="A688" s="65"/>
      <c r="B688" s="65"/>
      <c r="C688" s="66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  <c r="AJ688" s="65"/>
      <c r="AK688" s="65"/>
      <c r="AL688" s="65"/>
      <c r="AM688" s="65"/>
      <c r="AN688" s="65"/>
      <c r="AO688" s="65"/>
      <c r="AP688" s="65"/>
    </row>
    <row r="689" spans="1:42" ht="12.75" customHeight="1" x14ac:dyDescent="0.25">
      <c r="A689" s="65"/>
      <c r="B689" s="65"/>
      <c r="C689" s="66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5"/>
      <c r="AK689" s="65"/>
      <c r="AL689" s="65"/>
      <c r="AM689" s="65"/>
      <c r="AN689" s="65"/>
      <c r="AO689" s="65"/>
      <c r="AP689" s="65"/>
    </row>
    <row r="690" spans="1:42" ht="12.75" customHeight="1" x14ac:dyDescent="0.25">
      <c r="A690" s="65"/>
      <c r="B690" s="65"/>
      <c r="C690" s="66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  <c r="AJ690" s="65"/>
      <c r="AK690" s="65"/>
      <c r="AL690" s="65"/>
      <c r="AM690" s="65"/>
      <c r="AN690" s="65"/>
      <c r="AO690" s="65"/>
      <c r="AP690" s="65"/>
    </row>
    <row r="691" spans="1:42" ht="12.75" customHeight="1" x14ac:dyDescent="0.25">
      <c r="A691" s="65"/>
      <c r="B691" s="65"/>
      <c r="C691" s="66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  <c r="AE691" s="65"/>
      <c r="AF691" s="65"/>
      <c r="AG691" s="65"/>
      <c r="AH691" s="65"/>
      <c r="AI691" s="65"/>
      <c r="AJ691" s="65"/>
      <c r="AK691" s="65"/>
      <c r="AL691" s="65"/>
      <c r="AM691" s="65"/>
      <c r="AN691" s="65"/>
      <c r="AO691" s="65"/>
      <c r="AP691" s="65"/>
    </row>
    <row r="692" spans="1:42" ht="12.75" customHeight="1" x14ac:dyDescent="0.25">
      <c r="A692" s="65"/>
      <c r="B692" s="65"/>
      <c r="C692" s="66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  <c r="AE692" s="65"/>
      <c r="AF692" s="65"/>
      <c r="AG692" s="65"/>
      <c r="AH692" s="65"/>
      <c r="AI692" s="65"/>
      <c r="AJ692" s="65"/>
      <c r="AK692" s="65"/>
      <c r="AL692" s="65"/>
      <c r="AM692" s="65"/>
      <c r="AN692" s="65"/>
      <c r="AO692" s="65"/>
      <c r="AP692" s="65"/>
    </row>
    <row r="693" spans="1:42" ht="12.75" customHeight="1" x14ac:dyDescent="0.25">
      <c r="A693" s="65"/>
      <c r="B693" s="65"/>
      <c r="C693" s="66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  <c r="AE693" s="65"/>
      <c r="AF693" s="65"/>
      <c r="AG693" s="65"/>
      <c r="AH693" s="65"/>
      <c r="AI693" s="65"/>
      <c r="AJ693" s="65"/>
      <c r="AK693" s="65"/>
      <c r="AL693" s="65"/>
      <c r="AM693" s="65"/>
      <c r="AN693" s="65"/>
      <c r="AO693" s="65"/>
      <c r="AP693" s="65"/>
    </row>
    <row r="694" spans="1:42" ht="12.75" customHeight="1" x14ac:dyDescent="0.25">
      <c r="A694" s="65"/>
      <c r="B694" s="65"/>
      <c r="C694" s="66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  <c r="AE694" s="65"/>
      <c r="AF694" s="65"/>
      <c r="AG694" s="65"/>
      <c r="AH694" s="65"/>
      <c r="AI694" s="65"/>
      <c r="AJ694" s="65"/>
      <c r="AK694" s="65"/>
      <c r="AL694" s="65"/>
      <c r="AM694" s="65"/>
      <c r="AN694" s="65"/>
      <c r="AO694" s="65"/>
      <c r="AP694" s="65"/>
    </row>
    <row r="695" spans="1:42" ht="12.75" customHeight="1" x14ac:dyDescent="0.25">
      <c r="A695" s="65"/>
      <c r="B695" s="65"/>
      <c r="C695" s="66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  <c r="AE695" s="65"/>
      <c r="AF695" s="65"/>
      <c r="AG695" s="65"/>
      <c r="AH695" s="65"/>
      <c r="AI695" s="65"/>
      <c r="AJ695" s="65"/>
      <c r="AK695" s="65"/>
      <c r="AL695" s="65"/>
      <c r="AM695" s="65"/>
      <c r="AN695" s="65"/>
      <c r="AO695" s="65"/>
      <c r="AP695" s="65"/>
    </row>
    <row r="696" spans="1:42" ht="12.75" customHeight="1" x14ac:dyDescent="0.25">
      <c r="A696" s="65"/>
      <c r="B696" s="65"/>
      <c r="C696" s="66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  <c r="AE696" s="65"/>
      <c r="AF696" s="65"/>
      <c r="AG696" s="65"/>
      <c r="AH696" s="65"/>
      <c r="AI696" s="65"/>
      <c r="AJ696" s="65"/>
      <c r="AK696" s="65"/>
      <c r="AL696" s="65"/>
      <c r="AM696" s="65"/>
      <c r="AN696" s="65"/>
      <c r="AO696" s="65"/>
      <c r="AP696" s="65"/>
    </row>
    <row r="697" spans="1:42" ht="12.75" customHeight="1" x14ac:dyDescent="0.25">
      <c r="A697" s="65"/>
      <c r="B697" s="65"/>
      <c r="C697" s="66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  <c r="AE697" s="65"/>
      <c r="AF697" s="65"/>
      <c r="AG697" s="65"/>
      <c r="AH697" s="65"/>
      <c r="AI697" s="65"/>
      <c r="AJ697" s="65"/>
      <c r="AK697" s="65"/>
      <c r="AL697" s="65"/>
      <c r="AM697" s="65"/>
      <c r="AN697" s="65"/>
      <c r="AO697" s="65"/>
      <c r="AP697" s="65"/>
    </row>
    <row r="698" spans="1:42" ht="12.75" customHeight="1" x14ac:dyDescent="0.25">
      <c r="A698" s="65"/>
      <c r="B698" s="65"/>
      <c r="C698" s="66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  <c r="AE698" s="65"/>
      <c r="AF698" s="65"/>
      <c r="AG698" s="65"/>
      <c r="AH698" s="65"/>
      <c r="AI698" s="65"/>
      <c r="AJ698" s="65"/>
      <c r="AK698" s="65"/>
      <c r="AL698" s="65"/>
      <c r="AM698" s="65"/>
      <c r="AN698" s="65"/>
      <c r="AO698" s="65"/>
      <c r="AP698" s="65"/>
    </row>
    <row r="699" spans="1:42" ht="12.75" customHeight="1" x14ac:dyDescent="0.25">
      <c r="A699" s="65"/>
      <c r="B699" s="65"/>
      <c r="C699" s="66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  <c r="AE699" s="65"/>
      <c r="AF699" s="65"/>
      <c r="AG699" s="65"/>
      <c r="AH699" s="65"/>
      <c r="AI699" s="65"/>
      <c r="AJ699" s="65"/>
      <c r="AK699" s="65"/>
      <c r="AL699" s="65"/>
      <c r="AM699" s="65"/>
      <c r="AN699" s="65"/>
      <c r="AO699" s="65"/>
      <c r="AP699" s="65"/>
    </row>
    <row r="700" spans="1:42" ht="12.75" customHeight="1" x14ac:dyDescent="0.25">
      <c r="A700" s="65"/>
      <c r="B700" s="65"/>
      <c r="C700" s="66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  <c r="AE700" s="65"/>
      <c r="AF700" s="65"/>
      <c r="AG700" s="65"/>
      <c r="AH700" s="65"/>
      <c r="AI700" s="65"/>
      <c r="AJ700" s="65"/>
      <c r="AK700" s="65"/>
      <c r="AL700" s="65"/>
      <c r="AM700" s="65"/>
      <c r="AN700" s="65"/>
      <c r="AO700" s="65"/>
      <c r="AP700" s="65"/>
    </row>
    <row r="701" spans="1:42" ht="12.75" customHeight="1" x14ac:dyDescent="0.25">
      <c r="A701" s="65"/>
      <c r="B701" s="65"/>
      <c r="C701" s="66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  <c r="AE701" s="65"/>
      <c r="AF701" s="65"/>
      <c r="AG701" s="65"/>
      <c r="AH701" s="65"/>
      <c r="AI701" s="65"/>
      <c r="AJ701" s="65"/>
      <c r="AK701" s="65"/>
      <c r="AL701" s="65"/>
      <c r="AM701" s="65"/>
      <c r="AN701" s="65"/>
      <c r="AO701" s="65"/>
      <c r="AP701" s="65"/>
    </row>
    <row r="702" spans="1:42" ht="12.75" customHeight="1" x14ac:dyDescent="0.25">
      <c r="A702" s="65"/>
      <c r="B702" s="65"/>
      <c r="C702" s="66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  <c r="AE702" s="65"/>
      <c r="AF702" s="65"/>
      <c r="AG702" s="65"/>
      <c r="AH702" s="65"/>
      <c r="AI702" s="65"/>
      <c r="AJ702" s="65"/>
      <c r="AK702" s="65"/>
      <c r="AL702" s="65"/>
      <c r="AM702" s="65"/>
      <c r="AN702" s="65"/>
      <c r="AO702" s="65"/>
      <c r="AP702" s="65"/>
    </row>
    <row r="703" spans="1:42" ht="12.75" customHeight="1" x14ac:dyDescent="0.25">
      <c r="A703" s="65"/>
      <c r="B703" s="65"/>
      <c r="C703" s="66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  <c r="AE703" s="65"/>
      <c r="AF703" s="65"/>
      <c r="AG703" s="65"/>
      <c r="AH703" s="65"/>
      <c r="AI703" s="65"/>
      <c r="AJ703" s="65"/>
      <c r="AK703" s="65"/>
      <c r="AL703" s="65"/>
      <c r="AM703" s="65"/>
      <c r="AN703" s="65"/>
      <c r="AO703" s="65"/>
      <c r="AP703" s="65"/>
    </row>
    <row r="704" spans="1:42" ht="12.75" customHeight="1" x14ac:dyDescent="0.25">
      <c r="A704" s="65"/>
      <c r="B704" s="65"/>
      <c r="C704" s="66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  <c r="AE704" s="65"/>
      <c r="AF704" s="65"/>
      <c r="AG704" s="65"/>
      <c r="AH704" s="65"/>
      <c r="AI704" s="65"/>
      <c r="AJ704" s="65"/>
      <c r="AK704" s="65"/>
      <c r="AL704" s="65"/>
      <c r="AM704" s="65"/>
      <c r="AN704" s="65"/>
      <c r="AO704" s="65"/>
      <c r="AP704" s="65"/>
    </row>
    <row r="705" spans="1:42" ht="12.75" customHeight="1" x14ac:dyDescent="0.25">
      <c r="A705" s="65"/>
      <c r="B705" s="65"/>
      <c r="C705" s="66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  <c r="AE705" s="65"/>
      <c r="AF705" s="65"/>
      <c r="AG705" s="65"/>
      <c r="AH705" s="65"/>
      <c r="AI705" s="65"/>
      <c r="AJ705" s="65"/>
      <c r="AK705" s="65"/>
      <c r="AL705" s="65"/>
      <c r="AM705" s="65"/>
      <c r="AN705" s="65"/>
      <c r="AO705" s="65"/>
      <c r="AP705" s="65"/>
    </row>
    <row r="706" spans="1:42" ht="12.75" customHeight="1" x14ac:dyDescent="0.25">
      <c r="A706" s="65"/>
      <c r="B706" s="65"/>
      <c r="C706" s="66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  <c r="AE706" s="65"/>
      <c r="AF706" s="65"/>
      <c r="AG706" s="65"/>
      <c r="AH706" s="65"/>
      <c r="AI706" s="65"/>
      <c r="AJ706" s="65"/>
      <c r="AK706" s="65"/>
      <c r="AL706" s="65"/>
      <c r="AM706" s="65"/>
      <c r="AN706" s="65"/>
      <c r="AO706" s="65"/>
      <c r="AP706" s="65"/>
    </row>
    <row r="707" spans="1:42" ht="12.75" customHeight="1" x14ac:dyDescent="0.25">
      <c r="A707" s="65"/>
      <c r="B707" s="65"/>
      <c r="C707" s="66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  <c r="AE707" s="65"/>
      <c r="AF707" s="65"/>
      <c r="AG707" s="65"/>
      <c r="AH707" s="65"/>
      <c r="AI707" s="65"/>
      <c r="AJ707" s="65"/>
      <c r="AK707" s="65"/>
      <c r="AL707" s="65"/>
      <c r="AM707" s="65"/>
      <c r="AN707" s="65"/>
      <c r="AO707" s="65"/>
      <c r="AP707" s="65"/>
    </row>
    <row r="708" spans="1:42" ht="12.75" customHeight="1" x14ac:dyDescent="0.25">
      <c r="A708" s="65"/>
      <c r="B708" s="65"/>
      <c r="C708" s="66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  <c r="AE708" s="65"/>
      <c r="AF708" s="65"/>
      <c r="AG708" s="65"/>
      <c r="AH708" s="65"/>
      <c r="AI708" s="65"/>
      <c r="AJ708" s="65"/>
      <c r="AK708" s="65"/>
      <c r="AL708" s="65"/>
      <c r="AM708" s="65"/>
      <c r="AN708" s="65"/>
      <c r="AO708" s="65"/>
      <c r="AP708" s="65"/>
    </row>
    <row r="709" spans="1:42" ht="12.75" customHeight="1" x14ac:dyDescent="0.25">
      <c r="A709" s="65"/>
      <c r="B709" s="65"/>
      <c r="C709" s="66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  <c r="AE709" s="65"/>
      <c r="AF709" s="65"/>
      <c r="AG709" s="65"/>
      <c r="AH709" s="65"/>
      <c r="AI709" s="65"/>
      <c r="AJ709" s="65"/>
      <c r="AK709" s="65"/>
      <c r="AL709" s="65"/>
      <c r="AM709" s="65"/>
      <c r="AN709" s="65"/>
      <c r="AO709" s="65"/>
      <c r="AP709" s="65"/>
    </row>
    <row r="710" spans="1:42" ht="12.75" customHeight="1" x14ac:dyDescent="0.25">
      <c r="A710" s="65"/>
      <c r="B710" s="65"/>
      <c r="C710" s="66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  <c r="AE710" s="65"/>
      <c r="AF710" s="65"/>
      <c r="AG710" s="65"/>
      <c r="AH710" s="65"/>
      <c r="AI710" s="65"/>
      <c r="AJ710" s="65"/>
      <c r="AK710" s="65"/>
      <c r="AL710" s="65"/>
      <c r="AM710" s="65"/>
      <c r="AN710" s="65"/>
      <c r="AO710" s="65"/>
      <c r="AP710" s="65"/>
    </row>
    <row r="711" spans="1:42" ht="12.75" customHeight="1" x14ac:dyDescent="0.25">
      <c r="A711" s="65"/>
      <c r="B711" s="65"/>
      <c r="C711" s="66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  <c r="AE711" s="65"/>
      <c r="AF711" s="65"/>
      <c r="AG711" s="65"/>
      <c r="AH711" s="65"/>
      <c r="AI711" s="65"/>
      <c r="AJ711" s="65"/>
      <c r="AK711" s="65"/>
      <c r="AL711" s="65"/>
      <c r="AM711" s="65"/>
      <c r="AN711" s="65"/>
      <c r="AO711" s="65"/>
      <c r="AP711" s="65"/>
    </row>
    <row r="712" spans="1:42" ht="12.75" customHeight="1" x14ac:dyDescent="0.25">
      <c r="A712" s="65"/>
      <c r="B712" s="65"/>
      <c r="C712" s="66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  <c r="AE712" s="65"/>
      <c r="AF712" s="65"/>
      <c r="AG712" s="65"/>
      <c r="AH712" s="65"/>
      <c r="AI712" s="65"/>
      <c r="AJ712" s="65"/>
      <c r="AK712" s="65"/>
      <c r="AL712" s="65"/>
      <c r="AM712" s="65"/>
      <c r="AN712" s="65"/>
      <c r="AO712" s="65"/>
      <c r="AP712" s="65"/>
    </row>
    <row r="713" spans="1:42" ht="12.75" customHeight="1" x14ac:dyDescent="0.25">
      <c r="A713" s="65"/>
      <c r="B713" s="65"/>
      <c r="C713" s="66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  <c r="AE713" s="65"/>
      <c r="AF713" s="65"/>
      <c r="AG713" s="65"/>
      <c r="AH713" s="65"/>
      <c r="AI713" s="65"/>
      <c r="AJ713" s="65"/>
      <c r="AK713" s="65"/>
      <c r="AL713" s="65"/>
      <c r="AM713" s="65"/>
      <c r="AN713" s="65"/>
      <c r="AO713" s="65"/>
      <c r="AP713" s="65"/>
    </row>
    <row r="714" spans="1:42" ht="12.75" customHeight="1" x14ac:dyDescent="0.25">
      <c r="A714" s="65"/>
      <c r="B714" s="65"/>
      <c r="C714" s="66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  <c r="AE714" s="65"/>
      <c r="AF714" s="65"/>
      <c r="AG714" s="65"/>
      <c r="AH714" s="65"/>
      <c r="AI714" s="65"/>
      <c r="AJ714" s="65"/>
      <c r="AK714" s="65"/>
      <c r="AL714" s="65"/>
      <c r="AM714" s="65"/>
      <c r="AN714" s="65"/>
      <c r="AO714" s="65"/>
      <c r="AP714" s="65"/>
    </row>
    <row r="715" spans="1:42" ht="12.75" customHeight="1" x14ac:dyDescent="0.25">
      <c r="A715" s="65"/>
      <c r="B715" s="65"/>
      <c r="C715" s="66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  <c r="AE715" s="65"/>
      <c r="AF715" s="65"/>
      <c r="AG715" s="65"/>
      <c r="AH715" s="65"/>
      <c r="AI715" s="65"/>
      <c r="AJ715" s="65"/>
      <c r="AK715" s="65"/>
      <c r="AL715" s="65"/>
      <c r="AM715" s="65"/>
      <c r="AN715" s="65"/>
      <c r="AO715" s="65"/>
      <c r="AP715" s="65"/>
    </row>
    <row r="716" spans="1:42" ht="12.75" customHeight="1" x14ac:dyDescent="0.25">
      <c r="A716" s="65"/>
      <c r="B716" s="65"/>
      <c r="C716" s="66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65"/>
      <c r="AG716" s="65"/>
      <c r="AH716" s="65"/>
      <c r="AI716" s="65"/>
      <c r="AJ716" s="65"/>
      <c r="AK716" s="65"/>
      <c r="AL716" s="65"/>
      <c r="AM716" s="65"/>
      <c r="AN716" s="65"/>
      <c r="AO716" s="65"/>
      <c r="AP716" s="65"/>
    </row>
    <row r="717" spans="1:42" ht="12.75" customHeight="1" x14ac:dyDescent="0.25">
      <c r="A717" s="65"/>
      <c r="B717" s="65"/>
      <c r="C717" s="66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  <c r="AE717" s="65"/>
      <c r="AF717" s="65"/>
      <c r="AG717" s="65"/>
      <c r="AH717" s="65"/>
      <c r="AI717" s="65"/>
      <c r="AJ717" s="65"/>
      <c r="AK717" s="65"/>
      <c r="AL717" s="65"/>
      <c r="AM717" s="65"/>
      <c r="AN717" s="65"/>
      <c r="AO717" s="65"/>
      <c r="AP717" s="65"/>
    </row>
    <row r="718" spans="1:42" ht="12.75" customHeight="1" x14ac:dyDescent="0.25">
      <c r="A718" s="65"/>
      <c r="B718" s="65"/>
      <c r="C718" s="66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  <c r="AE718" s="65"/>
      <c r="AF718" s="65"/>
      <c r="AG718" s="65"/>
      <c r="AH718" s="65"/>
      <c r="AI718" s="65"/>
      <c r="AJ718" s="65"/>
      <c r="AK718" s="65"/>
      <c r="AL718" s="65"/>
      <c r="AM718" s="65"/>
      <c r="AN718" s="65"/>
      <c r="AO718" s="65"/>
      <c r="AP718" s="65"/>
    </row>
    <row r="719" spans="1:42" ht="12.75" customHeight="1" x14ac:dyDescent="0.25">
      <c r="A719" s="65"/>
      <c r="B719" s="65"/>
      <c r="C719" s="66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  <c r="AE719" s="65"/>
      <c r="AF719" s="65"/>
      <c r="AG719" s="65"/>
      <c r="AH719" s="65"/>
      <c r="AI719" s="65"/>
      <c r="AJ719" s="65"/>
      <c r="AK719" s="65"/>
      <c r="AL719" s="65"/>
      <c r="AM719" s="65"/>
      <c r="AN719" s="65"/>
      <c r="AO719" s="65"/>
      <c r="AP719" s="65"/>
    </row>
    <row r="720" spans="1:42" ht="12.75" customHeight="1" x14ac:dyDescent="0.25">
      <c r="A720" s="65"/>
      <c r="B720" s="65"/>
      <c r="C720" s="66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  <c r="AE720" s="65"/>
      <c r="AF720" s="65"/>
      <c r="AG720" s="65"/>
      <c r="AH720" s="65"/>
      <c r="AI720" s="65"/>
      <c r="AJ720" s="65"/>
      <c r="AK720" s="65"/>
      <c r="AL720" s="65"/>
      <c r="AM720" s="65"/>
      <c r="AN720" s="65"/>
      <c r="AO720" s="65"/>
      <c r="AP720" s="65"/>
    </row>
    <row r="721" spans="1:42" ht="12.75" customHeight="1" x14ac:dyDescent="0.25">
      <c r="A721" s="65"/>
      <c r="B721" s="65"/>
      <c r="C721" s="66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  <c r="AE721" s="65"/>
      <c r="AF721" s="65"/>
      <c r="AG721" s="65"/>
      <c r="AH721" s="65"/>
      <c r="AI721" s="65"/>
      <c r="AJ721" s="65"/>
      <c r="AK721" s="65"/>
      <c r="AL721" s="65"/>
      <c r="AM721" s="65"/>
      <c r="AN721" s="65"/>
      <c r="AO721" s="65"/>
      <c r="AP721" s="65"/>
    </row>
    <row r="722" spans="1:42" ht="12.75" customHeight="1" x14ac:dyDescent="0.25">
      <c r="A722" s="65"/>
      <c r="B722" s="65"/>
      <c r="C722" s="66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  <c r="AE722" s="65"/>
      <c r="AF722" s="65"/>
      <c r="AG722" s="65"/>
      <c r="AH722" s="65"/>
      <c r="AI722" s="65"/>
      <c r="AJ722" s="65"/>
      <c r="AK722" s="65"/>
      <c r="AL722" s="65"/>
      <c r="AM722" s="65"/>
      <c r="AN722" s="65"/>
      <c r="AO722" s="65"/>
      <c r="AP722" s="65"/>
    </row>
    <row r="723" spans="1:42" ht="12.75" customHeight="1" x14ac:dyDescent="0.25">
      <c r="A723" s="65"/>
      <c r="B723" s="65"/>
      <c r="C723" s="66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  <c r="AE723" s="65"/>
      <c r="AF723" s="65"/>
      <c r="AG723" s="65"/>
      <c r="AH723" s="65"/>
      <c r="AI723" s="65"/>
      <c r="AJ723" s="65"/>
      <c r="AK723" s="65"/>
      <c r="AL723" s="65"/>
      <c r="AM723" s="65"/>
      <c r="AN723" s="65"/>
      <c r="AO723" s="65"/>
      <c r="AP723" s="65"/>
    </row>
    <row r="724" spans="1:42" ht="12.75" customHeight="1" x14ac:dyDescent="0.25">
      <c r="A724" s="65"/>
      <c r="B724" s="65"/>
      <c r="C724" s="66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  <c r="AE724" s="65"/>
      <c r="AF724" s="65"/>
      <c r="AG724" s="65"/>
      <c r="AH724" s="65"/>
      <c r="AI724" s="65"/>
      <c r="AJ724" s="65"/>
      <c r="AK724" s="65"/>
      <c r="AL724" s="65"/>
      <c r="AM724" s="65"/>
      <c r="AN724" s="65"/>
      <c r="AO724" s="65"/>
      <c r="AP724" s="65"/>
    </row>
    <row r="725" spans="1:42" ht="12.75" customHeight="1" x14ac:dyDescent="0.25">
      <c r="A725" s="65"/>
      <c r="B725" s="65"/>
      <c r="C725" s="66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  <c r="AE725" s="65"/>
      <c r="AF725" s="65"/>
      <c r="AG725" s="65"/>
      <c r="AH725" s="65"/>
      <c r="AI725" s="65"/>
      <c r="AJ725" s="65"/>
      <c r="AK725" s="65"/>
      <c r="AL725" s="65"/>
      <c r="AM725" s="65"/>
      <c r="AN725" s="65"/>
      <c r="AO725" s="65"/>
      <c r="AP725" s="65"/>
    </row>
    <row r="726" spans="1:42" ht="12.75" customHeight="1" x14ac:dyDescent="0.25">
      <c r="A726" s="65"/>
      <c r="B726" s="65"/>
      <c r="C726" s="66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  <c r="AE726" s="65"/>
      <c r="AF726" s="65"/>
      <c r="AG726" s="65"/>
      <c r="AH726" s="65"/>
      <c r="AI726" s="65"/>
      <c r="AJ726" s="65"/>
      <c r="AK726" s="65"/>
      <c r="AL726" s="65"/>
      <c r="AM726" s="65"/>
      <c r="AN726" s="65"/>
      <c r="AO726" s="65"/>
      <c r="AP726" s="65"/>
    </row>
    <row r="727" spans="1:42" ht="12.75" customHeight="1" x14ac:dyDescent="0.25">
      <c r="A727" s="65"/>
      <c r="B727" s="65"/>
      <c r="C727" s="66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  <c r="AE727" s="65"/>
      <c r="AF727" s="65"/>
      <c r="AG727" s="65"/>
      <c r="AH727" s="65"/>
      <c r="AI727" s="65"/>
      <c r="AJ727" s="65"/>
      <c r="AK727" s="65"/>
      <c r="AL727" s="65"/>
      <c r="AM727" s="65"/>
      <c r="AN727" s="65"/>
      <c r="AO727" s="65"/>
      <c r="AP727" s="65"/>
    </row>
    <row r="728" spans="1:42" ht="12.75" customHeight="1" x14ac:dyDescent="0.25">
      <c r="A728" s="65"/>
      <c r="B728" s="65"/>
      <c r="C728" s="66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  <c r="AE728" s="65"/>
      <c r="AF728" s="65"/>
      <c r="AG728" s="65"/>
      <c r="AH728" s="65"/>
      <c r="AI728" s="65"/>
      <c r="AJ728" s="65"/>
      <c r="AK728" s="65"/>
      <c r="AL728" s="65"/>
      <c r="AM728" s="65"/>
      <c r="AN728" s="65"/>
      <c r="AO728" s="65"/>
      <c r="AP728" s="65"/>
    </row>
    <row r="729" spans="1:42" ht="12.75" customHeight="1" x14ac:dyDescent="0.25">
      <c r="A729" s="65"/>
      <c r="B729" s="65"/>
      <c r="C729" s="66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  <c r="AE729" s="65"/>
      <c r="AF729" s="65"/>
      <c r="AG729" s="65"/>
      <c r="AH729" s="65"/>
      <c r="AI729" s="65"/>
      <c r="AJ729" s="65"/>
      <c r="AK729" s="65"/>
      <c r="AL729" s="65"/>
      <c r="AM729" s="65"/>
      <c r="AN729" s="65"/>
      <c r="AO729" s="65"/>
      <c r="AP729" s="65"/>
    </row>
    <row r="730" spans="1:42" ht="12.75" customHeight="1" x14ac:dyDescent="0.25">
      <c r="A730" s="65"/>
      <c r="B730" s="65"/>
      <c r="C730" s="66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  <c r="AE730" s="65"/>
      <c r="AF730" s="65"/>
      <c r="AG730" s="65"/>
      <c r="AH730" s="65"/>
      <c r="AI730" s="65"/>
      <c r="AJ730" s="65"/>
      <c r="AK730" s="65"/>
      <c r="AL730" s="65"/>
      <c r="AM730" s="65"/>
      <c r="AN730" s="65"/>
      <c r="AO730" s="65"/>
      <c r="AP730" s="65"/>
    </row>
    <row r="731" spans="1:42" ht="12.75" customHeight="1" x14ac:dyDescent="0.25">
      <c r="A731" s="65"/>
      <c r="B731" s="65"/>
      <c r="C731" s="66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  <c r="AE731" s="65"/>
      <c r="AF731" s="65"/>
      <c r="AG731" s="65"/>
      <c r="AH731" s="65"/>
      <c r="AI731" s="65"/>
      <c r="AJ731" s="65"/>
      <c r="AK731" s="65"/>
      <c r="AL731" s="65"/>
      <c r="AM731" s="65"/>
      <c r="AN731" s="65"/>
      <c r="AO731" s="65"/>
      <c r="AP731" s="65"/>
    </row>
    <row r="732" spans="1:42" ht="12.75" customHeight="1" x14ac:dyDescent="0.25">
      <c r="A732" s="65"/>
      <c r="B732" s="65"/>
      <c r="C732" s="66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  <c r="AE732" s="65"/>
      <c r="AF732" s="65"/>
      <c r="AG732" s="65"/>
      <c r="AH732" s="65"/>
      <c r="AI732" s="65"/>
      <c r="AJ732" s="65"/>
      <c r="AK732" s="65"/>
      <c r="AL732" s="65"/>
      <c r="AM732" s="65"/>
      <c r="AN732" s="65"/>
      <c r="AO732" s="65"/>
      <c r="AP732" s="65"/>
    </row>
    <row r="733" spans="1:42" ht="12.75" customHeight="1" x14ac:dyDescent="0.25">
      <c r="A733" s="65"/>
      <c r="B733" s="65"/>
      <c r="C733" s="66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  <c r="AE733" s="65"/>
      <c r="AF733" s="65"/>
      <c r="AG733" s="65"/>
      <c r="AH733" s="65"/>
      <c r="AI733" s="65"/>
      <c r="AJ733" s="65"/>
      <c r="AK733" s="65"/>
      <c r="AL733" s="65"/>
      <c r="AM733" s="65"/>
      <c r="AN733" s="65"/>
      <c r="AO733" s="65"/>
      <c r="AP733" s="65"/>
    </row>
    <row r="734" spans="1:42" ht="12.75" customHeight="1" x14ac:dyDescent="0.25">
      <c r="A734" s="65"/>
      <c r="B734" s="65"/>
      <c r="C734" s="66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  <c r="AE734" s="65"/>
      <c r="AF734" s="65"/>
      <c r="AG734" s="65"/>
      <c r="AH734" s="65"/>
      <c r="AI734" s="65"/>
      <c r="AJ734" s="65"/>
      <c r="AK734" s="65"/>
      <c r="AL734" s="65"/>
      <c r="AM734" s="65"/>
      <c r="AN734" s="65"/>
      <c r="AO734" s="65"/>
      <c r="AP734" s="65"/>
    </row>
    <row r="735" spans="1:42" ht="12.75" customHeight="1" x14ac:dyDescent="0.25">
      <c r="A735" s="65"/>
      <c r="B735" s="65"/>
      <c r="C735" s="66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  <c r="AE735" s="65"/>
      <c r="AF735" s="65"/>
      <c r="AG735" s="65"/>
      <c r="AH735" s="65"/>
      <c r="AI735" s="65"/>
      <c r="AJ735" s="65"/>
      <c r="AK735" s="65"/>
      <c r="AL735" s="65"/>
      <c r="AM735" s="65"/>
      <c r="AN735" s="65"/>
      <c r="AO735" s="65"/>
      <c r="AP735" s="65"/>
    </row>
    <row r="736" spans="1:42" ht="12.75" customHeight="1" x14ac:dyDescent="0.25">
      <c r="A736" s="65"/>
      <c r="B736" s="65"/>
      <c r="C736" s="66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  <c r="AE736" s="65"/>
      <c r="AF736" s="65"/>
      <c r="AG736" s="65"/>
      <c r="AH736" s="65"/>
      <c r="AI736" s="65"/>
      <c r="AJ736" s="65"/>
      <c r="AK736" s="65"/>
      <c r="AL736" s="65"/>
      <c r="AM736" s="65"/>
      <c r="AN736" s="65"/>
      <c r="AO736" s="65"/>
      <c r="AP736" s="65"/>
    </row>
    <row r="737" spans="1:42" ht="12.75" customHeight="1" x14ac:dyDescent="0.25">
      <c r="A737" s="65"/>
      <c r="B737" s="65"/>
      <c r="C737" s="66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  <c r="AE737" s="65"/>
      <c r="AF737" s="65"/>
      <c r="AG737" s="65"/>
      <c r="AH737" s="65"/>
      <c r="AI737" s="65"/>
      <c r="AJ737" s="65"/>
      <c r="AK737" s="65"/>
      <c r="AL737" s="65"/>
      <c r="AM737" s="65"/>
      <c r="AN737" s="65"/>
      <c r="AO737" s="65"/>
      <c r="AP737" s="65"/>
    </row>
    <row r="738" spans="1:42" ht="12.75" customHeight="1" x14ac:dyDescent="0.25">
      <c r="A738" s="65"/>
      <c r="B738" s="65"/>
      <c r="C738" s="66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  <c r="AD738" s="65"/>
      <c r="AE738" s="65"/>
      <c r="AF738" s="65"/>
      <c r="AG738" s="65"/>
      <c r="AH738" s="65"/>
      <c r="AI738" s="65"/>
      <c r="AJ738" s="65"/>
      <c r="AK738" s="65"/>
      <c r="AL738" s="65"/>
      <c r="AM738" s="65"/>
      <c r="AN738" s="65"/>
      <c r="AO738" s="65"/>
      <c r="AP738" s="65"/>
    </row>
    <row r="739" spans="1:42" ht="12.75" customHeight="1" x14ac:dyDescent="0.25">
      <c r="A739" s="65"/>
      <c r="B739" s="65"/>
      <c r="C739" s="66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  <c r="AD739" s="65"/>
      <c r="AE739" s="65"/>
      <c r="AF739" s="65"/>
      <c r="AG739" s="65"/>
      <c r="AH739" s="65"/>
      <c r="AI739" s="65"/>
      <c r="AJ739" s="65"/>
      <c r="AK739" s="65"/>
      <c r="AL739" s="65"/>
      <c r="AM739" s="65"/>
      <c r="AN739" s="65"/>
      <c r="AO739" s="65"/>
      <c r="AP739" s="65"/>
    </row>
    <row r="740" spans="1:42" ht="12.75" customHeight="1" x14ac:dyDescent="0.25">
      <c r="A740" s="65"/>
      <c r="B740" s="65"/>
      <c r="C740" s="66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  <c r="AD740" s="65"/>
      <c r="AE740" s="65"/>
      <c r="AF740" s="65"/>
      <c r="AG740" s="65"/>
      <c r="AH740" s="65"/>
      <c r="AI740" s="65"/>
      <c r="AJ740" s="65"/>
      <c r="AK740" s="65"/>
      <c r="AL740" s="65"/>
      <c r="AM740" s="65"/>
      <c r="AN740" s="65"/>
      <c r="AO740" s="65"/>
      <c r="AP740" s="65"/>
    </row>
    <row r="741" spans="1:42" ht="12.75" customHeight="1" x14ac:dyDescent="0.25">
      <c r="A741" s="65"/>
      <c r="B741" s="65"/>
      <c r="C741" s="66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  <c r="AD741" s="65"/>
      <c r="AE741" s="65"/>
      <c r="AF741" s="65"/>
      <c r="AG741" s="65"/>
      <c r="AH741" s="65"/>
      <c r="AI741" s="65"/>
      <c r="AJ741" s="65"/>
      <c r="AK741" s="65"/>
      <c r="AL741" s="65"/>
      <c r="AM741" s="65"/>
      <c r="AN741" s="65"/>
      <c r="AO741" s="65"/>
      <c r="AP741" s="65"/>
    </row>
    <row r="742" spans="1:42" ht="12.75" customHeight="1" x14ac:dyDescent="0.25">
      <c r="A742" s="65"/>
      <c r="B742" s="65"/>
      <c r="C742" s="66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  <c r="AD742" s="65"/>
      <c r="AE742" s="65"/>
      <c r="AF742" s="65"/>
      <c r="AG742" s="65"/>
      <c r="AH742" s="65"/>
      <c r="AI742" s="65"/>
      <c r="AJ742" s="65"/>
      <c r="AK742" s="65"/>
      <c r="AL742" s="65"/>
      <c r="AM742" s="65"/>
      <c r="AN742" s="65"/>
      <c r="AO742" s="65"/>
      <c r="AP742" s="65"/>
    </row>
    <row r="743" spans="1:42" ht="12.75" customHeight="1" x14ac:dyDescent="0.25">
      <c r="A743" s="65"/>
      <c r="B743" s="65"/>
      <c r="C743" s="66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  <c r="AD743" s="65"/>
      <c r="AE743" s="65"/>
      <c r="AF743" s="65"/>
      <c r="AG743" s="65"/>
      <c r="AH743" s="65"/>
      <c r="AI743" s="65"/>
      <c r="AJ743" s="65"/>
      <c r="AK743" s="65"/>
      <c r="AL743" s="65"/>
      <c r="AM743" s="65"/>
      <c r="AN743" s="65"/>
      <c r="AO743" s="65"/>
      <c r="AP743" s="65"/>
    </row>
    <row r="744" spans="1:42" ht="12.75" customHeight="1" x14ac:dyDescent="0.25">
      <c r="A744" s="65"/>
      <c r="B744" s="65"/>
      <c r="C744" s="66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  <c r="AD744" s="65"/>
      <c r="AE744" s="65"/>
      <c r="AF744" s="65"/>
      <c r="AG744" s="65"/>
      <c r="AH744" s="65"/>
      <c r="AI744" s="65"/>
      <c r="AJ744" s="65"/>
      <c r="AK744" s="65"/>
      <c r="AL744" s="65"/>
      <c r="AM744" s="65"/>
      <c r="AN744" s="65"/>
      <c r="AO744" s="65"/>
      <c r="AP744" s="65"/>
    </row>
    <row r="745" spans="1:42" ht="12.75" customHeight="1" x14ac:dyDescent="0.25">
      <c r="A745" s="65"/>
      <c r="B745" s="65"/>
      <c r="C745" s="66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  <c r="AD745" s="65"/>
      <c r="AE745" s="65"/>
      <c r="AF745" s="65"/>
      <c r="AG745" s="65"/>
      <c r="AH745" s="65"/>
      <c r="AI745" s="65"/>
      <c r="AJ745" s="65"/>
      <c r="AK745" s="65"/>
      <c r="AL745" s="65"/>
      <c r="AM745" s="65"/>
      <c r="AN745" s="65"/>
      <c r="AO745" s="65"/>
      <c r="AP745" s="65"/>
    </row>
    <row r="746" spans="1:42" ht="12.75" customHeight="1" x14ac:dyDescent="0.25">
      <c r="A746" s="65"/>
      <c r="B746" s="65"/>
      <c r="C746" s="66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  <c r="AD746" s="65"/>
      <c r="AE746" s="65"/>
      <c r="AF746" s="65"/>
      <c r="AG746" s="65"/>
      <c r="AH746" s="65"/>
      <c r="AI746" s="65"/>
      <c r="AJ746" s="65"/>
      <c r="AK746" s="65"/>
      <c r="AL746" s="65"/>
      <c r="AM746" s="65"/>
      <c r="AN746" s="65"/>
      <c r="AO746" s="65"/>
      <c r="AP746" s="65"/>
    </row>
    <row r="747" spans="1:42" ht="12.75" customHeight="1" x14ac:dyDescent="0.25">
      <c r="A747" s="65"/>
      <c r="B747" s="65"/>
      <c r="C747" s="66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  <c r="AD747" s="65"/>
      <c r="AE747" s="65"/>
      <c r="AF747" s="65"/>
      <c r="AG747" s="65"/>
      <c r="AH747" s="65"/>
      <c r="AI747" s="65"/>
      <c r="AJ747" s="65"/>
      <c r="AK747" s="65"/>
      <c r="AL747" s="65"/>
      <c r="AM747" s="65"/>
      <c r="AN747" s="65"/>
      <c r="AO747" s="65"/>
      <c r="AP747" s="65"/>
    </row>
    <row r="748" spans="1:42" ht="12.75" customHeight="1" x14ac:dyDescent="0.25">
      <c r="A748" s="65"/>
      <c r="B748" s="65"/>
      <c r="C748" s="66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  <c r="AD748" s="65"/>
      <c r="AE748" s="65"/>
      <c r="AF748" s="65"/>
      <c r="AG748" s="65"/>
      <c r="AH748" s="65"/>
      <c r="AI748" s="65"/>
      <c r="AJ748" s="65"/>
      <c r="AK748" s="65"/>
      <c r="AL748" s="65"/>
      <c r="AM748" s="65"/>
      <c r="AN748" s="65"/>
      <c r="AO748" s="65"/>
      <c r="AP748" s="65"/>
    </row>
    <row r="749" spans="1:42" ht="12.75" customHeight="1" x14ac:dyDescent="0.25">
      <c r="A749" s="65"/>
      <c r="B749" s="65"/>
      <c r="C749" s="66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  <c r="AD749" s="65"/>
      <c r="AE749" s="65"/>
      <c r="AF749" s="65"/>
      <c r="AG749" s="65"/>
      <c r="AH749" s="65"/>
      <c r="AI749" s="65"/>
      <c r="AJ749" s="65"/>
      <c r="AK749" s="65"/>
      <c r="AL749" s="65"/>
      <c r="AM749" s="65"/>
      <c r="AN749" s="65"/>
      <c r="AO749" s="65"/>
      <c r="AP749" s="65"/>
    </row>
    <row r="750" spans="1:42" ht="12.75" customHeight="1" x14ac:dyDescent="0.25">
      <c r="A750" s="65"/>
      <c r="B750" s="65"/>
      <c r="C750" s="66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  <c r="AD750" s="65"/>
      <c r="AE750" s="65"/>
      <c r="AF750" s="65"/>
      <c r="AG750" s="65"/>
      <c r="AH750" s="65"/>
      <c r="AI750" s="65"/>
      <c r="AJ750" s="65"/>
      <c r="AK750" s="65"/>
      <c r="AL750" s="65"/>
      <c r="AM750" s="65"/>
      <c r="AN750" s="65"/>
      <c r="AO750" s="65"/>
      <c r="AP750" s="65"/>
    </row>
    <row r="751" spans="1:42" ht="12.75" customHeight="1" x14ac:dyDescent="0.25">
      <c r="A751" s="65"/>
      <c r="B751" s="65"/>
      <c r="C751" s="66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  <c r="AD751" s="65"/>
      <c r="AE751" s="65"/>
      <c r="AF751" s="65"/>
      <c r="AG751" s="65"/>
      <c r="AH751" s="65"/>
      <c r="AI751" s="65"/>
      <c r="AJ751" s="65"/>
      <c r="AK751" s="65"/>
      <c r="AL751" s="65"/>
      <c r="AM751" s="65"/>
      <c r="AN751" s="65"/>
      <c r="AO751" s="65"/>
      <c r="AP751" s="65"/>
    </row>
    <row r="752" spans="1:42" ht="12.75" customHeight="1" x14ac:dyDescent="0.25">
      <c r="A752" s="65"/>
      <c r="B752" s="65"/>
      <c r="C752" s="66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  <c r="AD752" s="65"/>
      <c r="AE752" s="65"/>
      <c r="AF752" s="65"/>
      <c r="AG752" s="65"/>
      <c r="AH752" s="65"/>
      <c r="AI752" s="65"/>
      <c r="AJ752" s="65"/>
      <c r="AK752" s="65"/>
      <c r="AL752" s="65"/>
      <c r="AM752" s="65"/>
      <c r="AN752" s="65"/>
      <c r="AO752" s="65"/>
      <c r="AP752" s="65"/>
    </row>
    <row r="753" spans="1:42" ht="12.75" customHeight="1" x14ac:dyDescent="0.25">
      <c r="A753" s="65"/>
      <c r="B753" s="65"/>
      <c r="C753" s="66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  <c r="AD753" s="65"/>
      <c r="AE753" s="65"/>
      <c r="AF753" s="65"/>
      <c r="AG753" s="65"/>
      <c r="AH753" s="65"/>
      <c r="AI753" s="65"/>
      <c r="AJ753" s="65"/>
      <c r="AK753" s="65"/>
      <c r="AL753" s="65"/>
      <c r="AM753" s="65"/>
      <c r="AN753" s="65"/>
      <c r="AO753" s="65"/>
      <c r="AP753" s="65"/>
    </row>
    <row r="754" spans="1:42" ht="12.75" customHeight="1" x14ac:dyDescent="0.25">
      <c r="A754" s="65"/>
      <c r="B754" s="65"/>
      <c r="C754" s="66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  <c r="AD754" s="65"/>
      <c r="AE754" s="65"/>
      <c r="AF754" s="65"/>
      <c r="AG754" s="65"/>
      <c r="AH754" s="65"/>
      <c r="AI754" s="65"/>
      <c r="AJ754" s="65"/>
      <c r="AK754" s="65"/>
      <c r="AL754" s="65"/>
      <c r="AM754" s="65"/>
      <c r="AN754" s="65"/>
      <c r="AO754" s="65"/>
      <c r="AP754" s="65"/>
    </row>
    <row r="755" spans="1:42" ht="12.75" customHeight="1" x14ac:dyDescent="0.25">
      <c r="A755" s="65"/>
      <c r="B755" s="65"/>
      <c r="C755" s="66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  <c r="AD755" s="65"/>
      <c r="AE755" s="65"/>
      <c r="AF755" s="65"/>
      <c r="AG755" s="65"/>
      <c r="AH755" s="65"/>
      <c r="AI755" s="65"/>
      <c r="AJ755" s="65"/>
      <c r="AK755" s="65"/>
      <c r="AL755" s="65"/>
      <c r="AM755" s="65"/>
      <c r="AN755" s="65"/>
      <c r="AO755" s="65"/>
      <c r="AP755" s="65"/>
    </row>
    <row r="756" spans="1:42" ht="12.75" customHeight="1" x14ac:dyDescent="0.25">
      <c r="A756" s="65"/>
      <c r="B756" s="65"/>
      <c r="C756" s="66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  <c r="AD756" s="65"/>
      <c r="AE756" s="65"/>
      <c r="AF756" s="65"/>
      <c r="AG756" s="65"/>
      <c r="AH756" s="65"/>
      <c r="AI756" s="65"/>
      <c r="AJ756" s="65"/>
      <c r="AK756" s="65"/>
      <c r="AL756" s="65"/>
      <c r="AM756" s="65"/>
      <c r="AN756" s="65"/>
      <c r="AO756" s="65"/>
      <c r="AP756" s="65"/>
    </row>
    <row r="757" spans="1:42" ht="12.75" customHeight="1" x14ac:dyDescent="0.25">
      <c r="A757" s="65"/>
      <c r="B757" s="65"/>
      <c r="C757" s="66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  <c r="AD757" s="65"/>
      <c r="AE757" s="65"/>
      <c r="AF757" s="65"/>
      <c r="AG757" s="65"/>
      <c r="AH757" s="65"/>
      <c r="AI757" s="65"/>
      <c r="AJ757" s="65"/>
      <c r="AK757" s="65"/>
      <c r="AL757" s="65"/>
      <c r="AM757" s="65"/>
      <c r="AN757" s="65"/>
      <c r="AO757" s="65"/>
      <c r="AP757" s="65"/>
    </row>
    <row r="758" spans="1:42" ht="12.75" customHeight="1" x14ac:dyDescent="0.25">
      <c r="A758" s="65"/>
      <c r="B758" s="65"/>
      <c r="C758" s="66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  <c r="AD758" s="65"/>
      <c r="AE758" s="65"/>
      <c r="AF758" s="65"/>
      <c r="AG758" s="65"/>
      <c r="AH758" s="65"/>
      <c r="AI758" s="65"/>
      <c r="AJ758" s="65"/>
      <c r="AK758" s="65"/>
      <c r="AL758" s="65"/>
      <c r="AM758" s="65"/>
      <c r="AN758" s="65"/>
      <c r="AO758" s="65"/>
      <c r="AP758" s="65"/>
    </row>
    <row r="759" spans="1:42" ht="12.75" customHeight="1" x14ac:dyDescent="0.25">
      <c r="A759" s="65"/>
      <c r="B759" s="65"/>
      <c r="C759" s="66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  <c r="AD759" s="65"/>
      <c r="AE759" s="65"/>
      <c r="AF759" s="65"/>
      <c r="AG759" s="65"/>
      <c r="AH759" s="65"/>
      <c r="AI759" s="65"/>
      <c r="AJ759" s="65"/>
      <c r="AK759" s="65"/>
      <c r="AL759" s="65"/>
      <c r="AM759" s="65"/>
      <c r="AN759" s="65"/>
      <c r="AO759" s="65"/>
      <c r="AP759" s="65"/>
    </row>
    <row r="760" spans="1:42" ht="12.75" customHeight="1" x14ac:dyDescent="0.25">
      <c r="A760" s="65"/>
      <c r="B760" s="65"/>
      <c r="C760" s="66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  <c r="AD760" s="65"/>
      <c r="AE760" s="65"/>
      <c r="AF760" s="65"/>
      <c r="AG760" s="65"/>
      <c r="AH760" s="65"/>
      <c r="AI760" s="65"/>
      <c r="AJ760" s="65"/>
      <c r="AK760" s="65"/>
      <c r="AL760" s="65"/>
      <c r="AM760" s="65"/>
      <c r="AN760" s="65"/>
      <c r="AO760" s="65"/>
      <c r="AP760" s="65"/>
    </row>
    <row r="761" spans="1:42" ht="12.75" customHeight="1" x14ac:dyDescent="0.25">
      <c r="A761" s="65"/>
      <c r="B761" s="65"/>
      <c r="C761" s="66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  <c r="AD761" s="65"/>
      <c r="AE761" s="65"/>
      <c r="AF761" s="65"/>
      <c r="AG761" s="65"/>
      <c r="AH761" s="65"/>
      <c r="AI761" s="65"/>
      <c r="AJ761" s="65"/>
      <c r="AK761" s="65"/>
      <c r="AL761" s="65"/>
      <c r="AM761" s="65"/>
      <c r="AN761" s="65"/>
      <c r="AO761" s="65"/>
      <c r="AP761" s="65"/>
    </row>
    <row r="762" spans="1:42" ht="12.75" customHeight="1" x14ac:dyDescent="0.25">
      <c r="A762" s="65"/>
      <c r="B762" s="65"/>
      <c r="C762" s="66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  <c r="AD762" s="65"/>
      <c r="AE762" s="65"/>
      <c r="AF762" s="65"/>
      <c r="AG762" s="65"/>
      <c r="AH762" s="65"/>
      <c r="AI762" s="65"/>
      <c r="AJ762" s="65"/>
      <c r="AK762" s="65"/>
      <c r="AL762" s="65"/>
      <c r="AM762" s="65"/>
      <c r="AN762" s="65"/>
      <c r="AO762" s="65"/>
      <c r="AP762" s="65"/>
    </row>
    <row r="763" spans="1:42" ht="12.75" customHeight="1" x14ac:dyDescent="0.25">
      <c r="A763" s="65"/>
      <c r="B763" s="65"/>
      <c r="C763" s="66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  <c r="AD763" s="65"/>
      <c r="AE763" s="65"/>
      <c r="AF763" s="65"/>
      <c r="AG763" s="65"/>
      <c r="AH763" s="65"/>
      <c r="AI763" s="65"/>
      <c r="AJ763" s="65"/>
      <c r="AK763" s="65"/>
      <c r="AL763" s="65"/>
      <c r="AM763" s="65"/>
      <c r="AN763" s="65"/>
      <c r="AO763" s="65"/>
      <c r="AP763" s="65"/>
    </row>
    <row r="764" spans="1:42" ht="12.75" customHeight="1" x14ac:dyDescent="0.25">
      <c r="A764" s="65"/>
      <c r="B764" s="65"/>
      <c r="C764" s="66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  <c r="AD764" s="65"/>
      <c r="AE764" s="65"/>
      <c r="AF764" s="65"/>
      <c r="AG764" s="65"/>
      <c r="AH764" s="65"/>
      <c r="AI764" s="65"/>
      <c r="AJ764" s="65"/>
      <c r="AK764" s="65"/>
      <c r="AL764" s="65"/>
      <c r="AM764" s="65"/>
      <c r="AN764" s="65"/>
      <c r="AO764" s="65"/>
      <c r="AP764" s="65"/>
    </row>
    <row r="765" spans="1:42" ht="12.75" customHeight="1" x14ac:dyDescent="0.25">
      <c r="A765" s="65"/>
      <c r="B765" s="65"/>
      <c r="C765" s="66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  <c r="AD765" s="65"/>
      <c r="AE765" s="65"/>
      <c r="AF765" s="65"/>
      <c r="AG765" s="65"/>
      <c r="AH765" s="65"/>
      <c r="AI765" s="65"/>
      <c r="AJ765" s="65"/>
      <c r="AK765" s="65"/>
      <c r="AL765" s="65"/>
      <c r="AM765" s="65"/>
      <c r="AN765" s="65"/>
      <c r="AO765" s="65"/>
      <c r="AP765" s="65"/>
    </row>
    <row r="766" spans="1:42" ht="12.75" customHeight="1" x14ac:dyDescent="0.25">
      <c r="A766" s="65"/>
      <c r="B766" s="65"/>
      <c r="C766" s="66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  <c r="AD766" s="65"/>
      <c r="AE766" s="65"/>
      <c r="AF766" s="65"/>
      <c r="AG766" s="65"/>
      <c r="AH766" s="65"/>
      <c r="AI766" s="65"/>
      <c r="AJ766" s="65"/>
      <c r="AK766" s="65"/>
      <c r="AL766" s="65"/>
      <c r="AM766" s="65"/>
      <c r="AN766" s="65"/>
      <c r="AO766" s="65"/>
      <c r="AP766" s="65"/>
    </row>
    <row r="767" spans="1:42" ht="12.75" customHeight="1" x14ac:dyDescent="0.25">
      <c r="A767" s="65"/>
      <c r="B767" s="65"/>
      <c r="C767" s="66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  <c r="AD767" s="65"/>
      <c r="AE767" s="65"/>
      <c r="AF767" s="65"/>
      <c r="AG767" s="65"/>
      <c r="AH767" s="65"/>
      <c r="AI767" s="65"/>
      <c r="AJ767" s="65"/>
      <c r="AK767" s="65"/>
      <c r="AL767" s="65"/>
      <c r="AM767" s="65"/>
      <c r="AN767" s="65"/>
      <c r="AO767" s="65"/>
      <c r="AP767" s="65"/>
    </row>
    <row r="768" spans="1:42" ht="12.75" customHeight="1" x14ac:dyDescent="0.25">
      <c r="A768" s="65"/>
      <c r="B768" s="65"/>
      <c r="C768" s="66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  <c r="AD768" s="65"/>
      <c r="AE768" s="65"/>
      <c r="AF768" s="65"/>
      <c r="AG768" s="65"/>
      <c r="AH768" s="65"/>
      <c r="AI768" s="65"/>
      <c r="AJ768" s="65"/>
      <c r="AK768" s="65"/>
      <c r="AL768" s="65"/>
      <c r="AM768" s="65"/>
      <c r="AN768" s="65"/>
      <c r="AO768" s="65"/>
      <c r="AP768" s="65"/>
    </row>
    <row r="769" spans="1:42" ht="12.75" customHeight="1" x14ac:dyDescent="0.25">
      <c r="A769" s="65"/>
      <c r="B769" s="65"/>
      <c r="C769" s="66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65"/>
      <c r="AG769" s="65"/>
      <c r="AH769" s="65"/>
      <c r="AI769" s="65"/>
      <c r="AJ769" s="65"/>
      <c r="AK769" s="65"/>
      <c r="AL769" s="65"/>
      <c r="AM769" s="65"/>
      <c r="AN769" s="65"/>
      <c r="AO769" s="65"/>
      <c r="AP769" s="65"/>
    </row>
    <row r="770" spans="1:42" ht="12.75" customHeight="1" x14ac:dyDescent="0.25">
      <c r="A770" s="65"/>
      <c r="B770" s="65"/>
      <c r="C770" s="66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  <c r="AD770" s="65"/>
      <c r="AE770" s="65"/>
      <c r="AF770" s="65"/>
      <c r="AG770" s="65"/>
      <c r="AH770" s="65"/>
      <c r="AI770" s="65"/>
      <c r="AJ770" s="65"/>
      <c r="AK770" s="65"/>
      <c r="AL770" s="65"/>
      <c r="AM770" s="65"/>
      <c r="AN770" s="65"/>
      <c r="AO770" s="65"/>
      <c r="AP770" s="65"/>
    </row>
    <row r="771" spans="1:42" ht="12.75" customHeight="1" x14ac:dyDescent="0.25">
      <c r="A771" s="65"/>
      <c r="B771" s="65"/>
      <c r="C771" s="66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  <c r="AD771" s="65"/>
      <c r="AE771" s="65"/>
      <c r="AF771" s="65"/>
      <c r="AG771" s="65"/>
      <c r="AH771" s="65"/>
      <c r="AI771" s="65"/>
      <c r="AJ771" s="65"/>
      <c r="AK771" s="65"/>
      <c r="AL771" s="65"/>
      <c r="AM771" s="65"/>
      <c r="AN771" s="65"/>
      <c r="AO771" s="65"/>
      <c r="AP771" s="65"/>
    </row>
    <row r="772" spans="1:42" ht="12.75" customHeight="1" x14ac:dyDescent="0.25">
      <c r="A772" s="65"/>
      <c r="B772" s="65"/>
      <c r="C772" s="66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  <c r="AD772" s="65"/>
      <c r="AE772" s="65"/>
      <c r="AF772" s="65"/>
      <c r="AG772" s="65"/>
      <c r="AH772" s="65"/>
      <c r="AI772" s="65"/>
      <c r="AJ772" s="65"/>
      <c r="AK772" s="65"/>
      <c r="AL772" s="65"/>
      <c r="AM772" s="65"/>
      <c r="AN772" s="65"/>
      <c r="AO772" s="65"/>
      <c r="AP772" s="65"/>
    </row>
    <row r="773" spans="1:42" ht="12.75" customHeight="1" x14ac:dyDescent="0.25">
      <c r="A773" s="65"/>
      <c r="B773" s="65"/>
      <c r="C773" s="66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  <c r="AD773" s="65"/>
      <c r="AE773" s="65"/>
      <c r="AF773" s="65"/>
      <c r="AG773" s="65"/>
      <c r="AH773" s="65"/>
      <c r="AI773" s="65"/>
      <c r="AJ773" s="65"/>
      <c r="AK773" s="65"/>
      <c r="AL773" s="65"/>
      <c r="AM773" s="65"/>
      <c r="AN773" s="65"/>
      <c r="AO773" s="65"/>
      <c r="AP773" s="65"/>
    </row>
    <row r="774" spans="1:42" ht="12.75" customHeight="1" x14ac:dyDescent="0.25">
      <c r="A774" s="65"/>
      <c r="B774" s="65"/>
      <c r="C774" s="66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  <c r="AD774" s="65"/>
      <c r="AE774" s="65"/>
      <c r="AF774" s="65"/>
      <c r="AG774" s="65"/>
      <c r="AH774" s="65"/>
      <c r="AI774" s="65"/>
      <c r="AJ774" s="65"/>
      <c r="AK774" s="65"/>
      <c r="AL774" s="65"/>
      <c r="AM774" s="65"/>
      <c r="AN774" s="65"/>
      <c r="AO774" s="65"/>
      <c r="AP774" s="65"/>
    </row>
    <row r="775" spans="1:42" ht="12.75" customHeight="1" x14ac:dyDescent="0.25">
      <c r="A775" s="65"/>
      <c r="B775" s="65"/>
      <c r="C775" s="66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  <c r="AD775" s="65"/>
      <c r="AE775" s="65"/>
      <c r="AF775" s="65"/>
      <c r="AG775" s="65"/>
      <c r="AH775" s="65"/>
      <c r="AI775" s="65"/>
      <c r="AJ775" s="65"/>
      <c r="AK775" s="65"/>
      <c r="AL775" s="65"/>
      <c r="AM775" s="65"/>
      <c r="AN775" s="65"/>
      <c r="AO775" s="65"/>
      <c r="AP775" s="65"/>
    </row>
    <row r="776" spans="1:42" ht="12.75" customHeight="1" x14ac:dyDescent="0.25">
      <c r="A776" s="65"/>
      <c r="B776" s="65"/>
      <c r="C776" s="66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  <c r="AD776" s="65"/>
      <c r="AE776" s="65"/>
      <c r="AF776" s="65"/>
      <c r="AG776" s="65"/>
      <c r="AH776" s="65"/>
      <c r="AI776" s="65"/>
      <c r="AJ776" s="65"/>
      <c r="AK776" s="65"/>
      <c r="AL776" s="65"/>
      <c r="AM776" s="65"/>
      <c r="AN776" s="65"/>
      <c r="AO776" s="65"/>
      <c r="AP776" s="65"/>
    </row>
    <row r="777" spans="1:42" ht="12.75" customHeight="1" x14ac:dyDescent="0.25">
      <c r="A777" s="65"/>
      <c r="B777" s="65"/>
      <c r="C777" s="66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  <c r="AD777" s="65"/>
      <c r="AE777" s="65"/>
      <c r="AF777" s="65"/>
      <c r="AG777" s="65"/>
      <c r="AH777" s="65"/>
      <c r="AI777" s="65"/>
      <c r="AJ777" s="65"/>
      <c r="AK777" s="65"/>
      <c r="AL777" s="65"/>
      <c r="AM777" s="65"/>
      <c r="AN777" s="65"/>
      <c r="AO777" s="65"/>
      <c r="AP777" s="65"/>
    </row>
    <row r="778" spans="1:42" ht="12.75" customHeight="1" x14ac:dyDescent="0.25">
      <c r="A778" s="65"/>
      <c r="B778" s="65"/>
      <c r="C778" s="66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  <c r="AD778" s="65"/>
      <c r="AE778" s="65"/>
      <c r="AF778" s="65"/>
      <c r="AG778" s="65"/>
      <c r="AH778" s="65"/>
      <c r="AI778" s="65"/>
      <c r="AJ778" s="65"/>
      <c r="AK778" s="65"/>
      <c r="AL778" s="65"/>
      <c r="AM778" s="65"/>
      <c r="AN778" s="65"/>
      <c r="AO778" s="65"/>
      <c r="AP778" s="65"/>
    </row>
    <row r="779" spans="1:42" ht="12.75" customHeight="1" x14ac:dyDescent="0.25">
      <c r="A779" s="65"/>
      <c r="B779" s="65"/>
      <c r="C779" s="66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  <c r="AD779" s="65"/>
      <c r="AE779" s="65"/>
      <c r="AF779" s="65"/>
      <c r="AG779" s="65"/>
      <c r="AH779" s="65"/>
      <c r="AI779" s="65"/>
      <c r="AJ779" s="65"/>
      <c r="AK779" s="65"/>
      <c r="AL779" s="65"/>
      <c r="AM779" s="65"/>
      <c r="AN779" s="65"/>
      <c r="AO779" s="65"/>
      <c r="AP779" s="65"/>
    </row>
    <row r="780" spans="1:42" ht="12.75" customHeight="1" x14ac:dyDescent="0.25">
      <c r="A780" s="65"/>
      <c r="B780" s="65"/>
      <c r="C780" s="66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  <c r="AD780" s="65"/>
      <c r="AE780" s="65"/>
      <c r="AF780" s="65"/>
      <c r="AG780" s="65"/>
      <c r="AH780" s="65"/>
      <c r="AI780" s="65"/>
      <c r="AJ780" s="65"/>
      <c r="AK780" s="65"/>
      <c r="AL780" s="65"/>
      <c r="AM780" s="65"/>
      <c r="AN780" s="65"/>
      <c r="AO780" s="65"/>
      <c r="AP780" s="65"/>
    </row>
    <row r="781" spans="1:42" ht="12.75" customHeight="1" x14ac:dyDescent="0.25">
      <c r="A781" s="65"/>
      <c r="B781" s="65"/>
      <c r="C781" s="66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  <c r="AD781" s="65"/>
      <c r="AE781" s="65"/>
      <c r="AF781" s="65"/>
      <c r="AG781" s="65"/>
      <c r="AH781" s="65"/>
      <c r="AI781" s="65"/>
      <c r="AJ781" s="65"/>
      <c r="AK781" s="65"/>
      <c r="AL781" s="65"/>
      <c r="AM781" s="65"/>
      <c r="AN781" s="65"/>
      <c r="AO781" s="65"/>
      <c r="AP781" s="65"/>
    </row>
    <row r="782" spans="1:42" ht="12.75" customHeight="1" x14ac:dyDescent="0.25">
      <c r="A782" s="65"/>
      <c r="B782" s="65"/>
      <c r="C782" s="66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  <c r="AD782" s="65"/>
      <c r="AE782" s="65"/>
      <c r="AF782" s="65"/>
      <c r="AG782" s="65"/>
      <c r="AH782" s="65"/>
      <c r="AI782" s="65"/>
      <c r="AJ782" s="65"/>
      <c r="AK782" s="65"/>
      <c r="AL782" s="65"/>
      <c r="AM782" s="65"/>
      <c r="AN782" s="65"/>
      <c r="AO782" s="65"/>
      <c r="AP782" s="65"/>
    </row>
    <row r="783" spans="1:42" ht="12.75" customHeight="1" x14ac:dyDescent="0.25">
      <c r="A783" s="65"/>
      <c r="B783" s="65"/>
      <c r="C783" s="66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  <c r="AD783" s="65"/>
      <c r="AE783" s="65"/>
      <c r="AF783" s="65"/>
      <c r="AG783" s="65"/>
      <c r="AH783" s="65"/>
      <c r="AI783" s="65"/>
      <c r="AJ783" s="65"/>
      <c r="AK783" s="65"/>
      <c r="AL783" s="65"/>
      <c r="AM783" s="65"/>
      <c r="AN783" s="65"/>
      <c r="AO783" s="65"/>
      <c r="AP783" s="65"/>
    </row>
    <row r="784" spans="1:42" ht="12.75" customHeight="1" x14ac:dyDescent="0.25">
      <c r="A784" s="65"/>
      <c r="B784" s="65"/>
      <c r="C784" s="66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  <c r="AD784" s="65"/>
      <c r="AE784" s="65"/>
      <c r="AF784" s="65"/>
      <c r="AG784" s="65"/>
      <c r="AH784" s="65"/>
      <c r="AI784" s="65"/>
      <c r="AJ784" s="65"/>
      <c r="AK784" s="65"/>
      <c r="AL784" s="65"/>
      <c r="AM784" s="65"/>
      <c r="AN784" s="65"/>
      <c r="AO784" s="65"/>
      <c r="AP784" s="65"/>
    </row>
    <row r="785" spans="1:42" ht="12.75" customHeight="1" x14ac:dyDescent="0.25">
      <c r="A785" s="65"/>
      <c r="B785" s="65"/>
      <c r="C785" s="66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  <c r="AD785" s="65"/>
      <c r="AE785" s="65"/>
      <c r="AF785" s="65"/>
      <c r="AG785" s="65"/>
      <c r="AH785" s="65"/>
      <c r="AI785" s="65"/>
      <c r="AJ785" s="65"/>
      <c r="AK785" s="65"/>
      <c r="AL785" s="65"/>
      <c r="AM785" s="65"/>
      <c r="AN785" s="65"/>
      <c r="AO785" s="65"/>
      <c r="AP785" s="65"/>
    </row>
    <row r="786" spans="1:42" ht="12.75" customHeight="1" x14ac:dyDescent="0.25">
      <c r="A786" s="65"/>
      <c r="B786" s="65"/>
      <c r="C786" s="66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  <c r="AD786" s="65"/>
      <c r="AE786" s="65"/>
      <c r="AF786" s="65"/>
      <c r="AG786" s="65"/>
      <c r="AH786" s="65"/>
      <c r="AI786" s="65"/>
      <c r="AJ786" s="65"/>
      <c r="AK786" s="65"/>
      <c r="AL786" s="65"/>
      <c r="AM786" s="65"/>
      <c r="AN786" s="65"/>
      <c r="AO786" s="65"/>
      <c r="AP786" s="65"/>
    </row>
    <row r="787" spans="1:42" ht="12.75" customHeight="1" x14ac:dyDescent="0.25">
      <c r="A787" s="65"/>
      <c r="B787" s="65"/>
      <c r="C787" s="66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  <c r="AD787" s="65"/>
      <c r="AE787" s="65"/>
      <c r="AF787" s="65"/>
      <c r="AG787" s="65"/>
      <c r="AH787" s="65"/>
      <c r="AI787" s="65"/>
      <c r="AJ787" s="65"/>
      <c r="AK787" s="65"/>
      <c r="AL787" s="65"/>
      <c r="AM787" s="65"/>
      <c r="AN787" s="65"/>
      <c r="AO787" s="65"/>
      <c r="AP787" s="65"/>
    </row>
    <row r="788" spans="1:42" ht="12.75" customHeight="1" x14ac:dyDescent="0.25">
      <c r="A788" s="65"/>
      <c r="B788" s="65"/>
      <c r="C788" s="66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  <c r="AD788" s="65"/>
      <c r="AE788" s="65"/>
      <c r="AF788" s="65"/>
      <c r="AG788" s="65"/>
      <c r="AH788" s="65"/>
      <c r="AI788" s="65"/>
      <c r="AJ788" s="65"/>
      <c r="AK788" s="65"/>
      <c r="AL788" s="65"/>
      <c r="AM788" s="65"/>
      <c r="AN788" s="65"/>
      <c r="AO788" s="65"/>
      <c r="AP788" s="65"/>
    </row>
    <row r="789" spans="1:42" ht="12.75" customHeight="1" x14ac:dyDescent="0.25">
      <c r="A789" s="65"/>
      <c r="B789" s="65"/>
      <c r="C789" s="66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  <c r="AD789" s="65"/>
      <c r="AE789" s="65"/>
      <c r="AF789" s="65"/>
      <c r="AG789" s="65"/>
      <c r="AH789" s="65"/>
      <c r="AI789" s="65"/>
      <c r="AJ789" s="65"/>
      <c r="AK789" s="65"/>
      <c r="AL789" s="65"/>
      <c r="AM789" s="65"/>
      <c r="AN789" s="65"/>
      <c r="AO789" s="65"/>
      <c r="AP789" s="65"/>
    </row>
    <row r="790" spans="1:42" ht="12.75" customHeight="1" x14ac:dyDescent="0.25">
      <c r="A790" s="65"/>
      <c r="B790" s="65"/>
      <c r="C790" s="66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  <c r="AD790" s="65"/>
      <c r="AE790" s="65"/>
      <c r="AF790" s="65"/>
      <c r="AG790" s="65"/>
      <c r="AH790" s="65"/>
      <c r="AI790" s="65"/>
      <c r="AJ790" s="65"/>
      <c r="AK790" s="65"/>
      <c r="AL790" s="65"/>
      <c r="AM790" s="65"/>
      <c r="AN790" s="65"/>
      <c r="AO790" s="65"/>
      <c r="AP790" s="65"/>
    </row>
    <row r="791" spans="1:42" ht="12.75" customHeight="1" x14ac:dyDescent="0.25">
      <c r="A791" s="65"/>
      <c r="B791" s="65"/>
      <c r="C791" s="66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  <c r="AD791" s="65"/>
      <c r="AE791" s="65"/>
      <c r="AF791" s="65"/>
      <c r="AG791" s="65"/>
      <c r="AH791" s="65"/>
      <c r="AI791" s="65"/>
      <c r="AJ791" s="65"/>
      <c r="AK791" s="65"/>
      <c r="AL791" s="65"/>
      <c r="AM791" s="65"/>
      <c r="AN791" s="65"/>
      <c r="AO791" s="65"/>
      <c r="AP791" s="65"/>
    </row>
    <row r="792" spans="1:42" ht="12.75" customHeight="1" x14ac:dyDescent="0.25">
      <c r="A792" s="65"/>
      <c r="B792" s="65"/>
      <c r="C792" s="66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  <c r="AD792" s="65"/>
      <c r="AE792" s="65"/>
      <c r="AF792" s="65"/>
      <c r="AG792" s="65"/>
      <c r="AH792" s="65"/>
      <c r="AI792" s="65"/>
      <c r="AJ792" s="65"/>
      <c r="AK792" s="65"/>
      <c r="AL792" s="65"/>
      <c r="AM792" s="65"/>
      <c r="AN792" s="65"/>
      <c r="AO792" s="65"/>
      <c r="AP792" s="65"/>
    </row>
    <row r="793" spans="1:42" ht="12.75" customHeight="1" x14ac:dyDescent="0.25">
      <c r="A793" s="65"/>
      <c r="B793" s="65"/>
      <c r="C793" s="66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  <c r="AD793" s="65"/>
      <c r="AE793" s="65"/>
      <c r="AF793" s="65"/>
      <c r="AG793" s="65"/>
      <c r="AH793" s="65"/>
      <c r="AI793" s="65"/>
      <c r="AJ793" s="65"/>
      <c r="AK793" s="65"/>
      <c r="AL793" s="65"/>
      <c r="AM793" s="65"/>
      <c r="AN793" s="65"/>
      <c r="AO793" s="65"/>
      <c r="AP793" s="65"/>
    </row>
    <row r="794" spans="1:42" ht="12.75" customHeight="1" x14ac:dyDescent="0.25">
      <c r="A794" s="65"/>
      <c r="B794" s="65"/>
      <c r="C794" s="66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  <c r="AD794" s="65"/>
      <c r="AE794" s="65"/>
      <c r="AF794" s="65"/>
      <c r="AG794" s="65"/>
      <c r="AH794" s="65"/>
      <c r="AI794" s="65"/>
      <c r="AJ794" s="65"/>
      <c r="AK794" s="65"/>
      <c r="AL794" s="65"/>
      <c r="AM794" s="65"/>
      <c r="AN794" s="65"/>
      <c r="AO794" s="65"/>
      <c r="AP794" s="65"/>
    </row>
    <row r="795" spans="1:42" ht="12.75" customHeight="1" x14ac:dyDescent="0.25">
      <c r="A795" s="65"/>
      <c r="B795" s="65"/>
      <c r="C795" s="66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  <c r="AD795" s="65"/>
      <c r="AE795" s="65"/>
      <c r="AF795" s="65"/>
      <c r="AG795" s="65"/>
      <c r="AH795" s="65"/>
      <c r="AI795" s="65"/>
      <c r="AJ795" s="65"/>
      <c r="AK795" s="65"/>
      <c r="AL795" s="65"/>
      <c r="AM795" s="65"/>
      <c r="AN795" s="65"/>
      <c r="AO795" s="65"/>
      <c r="AP795" s="65"/>
    </row>
    <row r="796" spans="1:42" ht="12.75" customHeight="1" x14ac:dyDescent="0.25">
      <c r="A796" s="65"/>
      <c r="B796" s="65"/>
      <c r="C796" s="66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  <c r="AD796" s="65"/>
      <c r="AE796" s="65"/>
      <c r="AF796" s="65"/>
      <c r="AG796" s="65"/>
      <c r="AH796" s="65"/>
      <c r="AI796" s="65"/>
      <c r="AJ796" s="65"/>
      <c r="AK796" s="65"/>
      <c r="AL796" s="65"/>
      <c r="AM796" s="65"/>
      <c r="AN796" s="65"/>
      <c r="AO796" s="65"/>
      <c r="AP796" s="65"/>
    </row>
    <row r="797" spans="1:42" ht="12.75" customHeight="1" x14ac:dyDescent="0.25">
      <c r="A797" s="65"/>
      <c r="B797" s="65"/>
      <c r="C797" s="66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  <c r="AD797" s="65"/>
      <c r="AE797" s="65"/>
      <c r="AF797" s="65"/>
      <c r="AG797" s="65"/>
      <c r="AH797" s="65"/>
      <c r="AI797" s="65"/>
      <c r="AJ797" s="65"/>
      <c r="AK797" s="65"/>
      <c r="AL797" s="65"/>
      <c r="AM797" s="65"/>
      <c r="AN797" s="65"/>
      <c r="AO797" s="65"/>
      <c r="AP797" s="65"/>
    </row>
    <row r="798" spans="1:42" ht="12.75" customHeight="1" x14ac:dyDescent="0.25">
      <c r="A798" s="65"/>
      <c r="B798" s="65"/>
      <c r="C798" s="66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  <c r="AD798" s="65"/>
      <c r="AE798" s="65"/>
      <c r="AF798" s="65"/>
      <c r="AG798" s="65"/>
      <c r="AH798" s="65"/>
      <c r="AI798" s="65"/>
      <c r="AJ798" s="65"/>
      <c r="AK798" s="65"/>
      <c r="AL798" s="65"/>
      <c r="AM798" s="65"/>
      <c r="AN798" s="65"/>
      <c r="AO798" s="65"/>
      <c r="AP798" s="65"/>
    </row>
    <row r="799" spans="1:42" ht="12.75" customHeight="1" x14ac:dyDescent="0.25">
      <c r="A799" s="65"/>
      <c r="B799" s="65"/>
      <c r="C799" s="66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  <c r="AD799" s="65"/>
      <c r="AE799" s="65"/>
      <c r="AF799" s="65"/>
      <c r="AG799" s="65"/>
      <c r="AH799" s="65"/>
      <c r="AI799" s="65"/>
      <c r="AJ799" s="65"/>
      <c r="AK799" s="65"/>
      <c r="AL799" s="65"/>
      <c r="AM799" s="65"/>
      <c r="AN799" s="65"/>
      <c r="AO799" s="65"/>
      <c r="AP799" s="65"/>
    </row>
    <row r="800" spans="1:42" ht="12.75" customHeight="1" x14ac:dyDescent="0.25">
      <c r="A800" s="65"/>
      <c r="B800" s="65"/>
      <c r="C800" s="66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  <c r="AD800" s="65"/>
      <c r="AE800" s="65"/>
      <c r="AF800" s="65"/>
      <c r="AG800" s="65"/>
      <c r="AH800" s="65"/>
      <c r="AI800" s="65"/>
      <c r="AJ800" s="65"/>
      <c r="AK800" s="65"/>
      <c r="AL800" s="65"/>
      <c r="AM800" s="65"/>
      <c r="AN800" s="65"/>
      <c r="AO800" s="65"/>
      <c r="AP800" s="65"/>
    </row>
    <row r="801" spans="1:42" ht="12.75" customHeight="1" x14ac:dyDescent="0.25">
      <c r="A801" s="65"/>
      <c r="B801" s="65"/>
      <c r="C801" s="66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  <c r="AD801" s="65"/>
      <c r="AE801" s="65"/>
      <c r="AF801" s="65"/>
      <c r="AG801" s="65"/>
      <c r="AH801" s="65"/>
      <c r="AI801" s="65"/>
      <c r="AJ801" s="65"/>
      <c r="AK801" s="65"/>
      <c r="AL801" s="65"/>
      <c r="AM801" s="65"/>
      <c r="AN801" s="65"/>
      <c r="AO801" s="65"/>
      <c r="AP801" s="65"/>
    </row>
    <row r="802" spans="1:42" ht="12.75" customHeight="1" x14ac:dyDescent="0.25">
      <c r="A802" s="65"/>
      <c r="B802" s="65"/>
      <c r="C802" s="66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  <c r="AD802" s="65"/>
      <c r="AE802" s="65"/>
      <c r="AF802" s="65"/>
      <c r="AG802" s="65"/>
      <c r="AH802" s="65"/>
      <c r="AI802" s="65"/>
      <c r="AJ802" s="65"/>
      <c r="AK802" s="65"/>
      <c r="AL802" s="65"/>
      <c r="AM802" s="65"/>
      <c r="AN802" s="65"/>
      <c r="AO802" s="65"/>
      <c r="AP802" s="65"/>
    </row>
    <row r="803" spans="1:42" ht="12.75" customHeight="1" x14ac:dyDescent="0.25">
      <c r="A803" s="65"/>
      <c r="B803" s="65"/>
      <c r="C803" s="66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  <c r="AD803" s="65"/>
      <c r="AE803" s="65"/>
      <c r="AF803" s="65"/>
      <c r="AG803" s="65"/>
      <c r="AH803" s="65"/>
      <c r="AI803" s="65"/>
      <c r="AJ803" s="65"/>
      <c r="AK803" s="65"/>
      <c r="AL803" s="65"/>
      <c r="AM803" s="65"/>
      <c r="AN803" s="65"/>
      <c r="AO803" s="65"/>
      <c r="AP803" s="65"/>
    </row>
    <row r="804" spans="1:42" ht="12.75" customHeight="1" x14ac:dyDescent="0.25">
      <c r="A804" s="65"/>
      <c r="B804" s="65"/>
      <c r="C804" s="66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  <c r="AD804" s="65"/>
      <c r="AE804" s="65"/>
      <c r="AF804" s="65"/>
      <c r="AG804" s="65"/>
      <c r="AH804" s="65"/>
      <c r="AI804" s="65"/>
      <c r="AJ804" s="65"/>
      <c r="AK804" s="65"/>
      <c r="AL804" s="65"/>
      <c r="AM804" s="65"/>
      <c r="AN804" s="65"/>
      <c r="AO804" s="65"/>
      <c r="AP804" s="65"/>
    </row>
    <row r="805" spans="1:42" ht="12.75" customHeight="1" x14ac:dyDescent="0.25">
      <c r="A805" s="65"/>
      <c r="B805" s="65"/>
      <c r="C805" s="66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  <c r="AD805" s="65"/>
      <c r="AE805" s="65"/>
      <c r="AF805" s="65"/>
      <c r="AG805" s="65"/>
      <c r="AH805" s="65"/>
      <c r="AI805" s="65"/>
      <c r="AJ805" s="65"/>
      <c r="AK805" s="65"/>
      <c r="AL805" s="65"/>
      <c r="AM805" s="65"/>
      <c r="AN805" s="65"/>
      <c r="AO805" s="65"/>
      <c r="AP805" s="65"/>
    </row>
    <row r="806" spans="1:42" ht="12.75" customHeight="1" x14ac:dyDescent="0.25">
      <c r="A806" s="65"/>
      <c r="B806" s="65"/>
      <c r="C806" s="66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  <c r="AD806" s="65"/>
      <c r="AE806" s="65"/>
      <c r="AF806" s="65"/>
      <c r="AG806" s="65"/>
      <c r="AH806" s="65"/>
      <c r="AI806" s="65"/>
      <c r="AJ806" s="65"/>
      <c r="AK806" s="65"/>
      <c r="AL806" s="65"/>
      <c r="AM806" s="65"/>
      <c r="AN806" s="65"/>
      <c r="AO806" s="65"/>
      <c r="AP806" s="65"/>
    </row>
    <row r="807" spans="1:42" ht="12.75" customHeight="1" x14ac:dyDescent="0.25">
      <c r="A807" s="65"/>
      <c r="B807" s="65"/>
      <c r="C807" s="66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  <c r="AD807" s="65"/>
      <c r="AE807" s="65"/>
      <c r="AF807" s="65"/>
      <c r="AG807" s="65"/>
      <c r="AH807" s="65"/>
      <c r="AI807" s="65"/>
      <c r="AJ807" s="65"/>
      <c r="AK807" s="65"/>
      <c r="AL807" s="65"/>
      <c r="AM807" s="65"/>
      <c r="AN807" s="65"/>
      <c r="AO807" s="65"/>
      <c r="AP807" s="65"/>
    </row>
    <row r="808" spans="1:42" ht="12.75" customHeight="1" x14ac:dyDescent="0.25">
      <c r="A808" s="65"/>
      <c r="B808" s="65"/>
      <c r="C808" s="66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  <c r="AD808" s="65"/>
      <c r="AE808" s="65"/>
      <c r="AF808" s="65"/>
      <c r="AG808" s="65"/>
      <c r="AH808" s="65"/>
      <c r="AI808" s="65"/>
      <c r="AJ808" s="65"/>
      <c r="AK808" s="65"/>
      <c r="AL808" s="65"/>
      <c r="AM808" s="65"/>
      <c r="AN808" s="65"/>
      <c r="AO808" s="65"/>
      <c r="AP808" s="65"/>
    </row>
    <row r="809" spans="1:42" ht="12.75" customHeight="1" x14ac:dyDescent="0.25">
      <c r="A809" s="65"/>
      <c r="B809" s="65"/>
      <c r="C809" s="66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  <c r="AD809" s="65"/>
      <c r="AE809" s="65"/>
      <c r="AF809" s="65"/>
      <c r="AG809" s="65"/>
      <c r="AH809" s="65"/>
      <c r="AI809" s="65"/>
      <c r="AJ809" s="65"/>
      <c r="AK809" s="65"/>
      <c r="AL809" s="65"/>
      <c r="AM809" s="65"/>
      <c r="AN809" s="65"/>
      <c r="AO809" s="65"/>
      <c r="AP809" s="65"/>
    </row>
    <row r="810" spans="1:42" ht="12.75" customHeight="1" x14ac:dyDescent="0.25">
      <c r="A810" s="65"/>
      <c r="B810" s="65"/>
      <c r="C810" s="66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  <c r="AD810" s="65"/>
      <c r="AE810" s="65"/>
      <c r="AF810" s="65"/>
      <c r="AG810" s="65"/>
      <c r="AH810" s="65"/>
      <c r="AI810" s="65"/>
      <c r="AJ810" s="65"/>
      <c r="AK810" s="65"/>
      <c r="AL810" s="65"/>
      <c r="AM810" s="65"/>
      <c r="AN810" s="65"/>
      <c r="AO810" s="65"/>
      <c r="AP810" s="65"/>
    </row>
    <row r="811" spans="1:42" ht="12.75" customHeight="1" x14ac:dyDescent="0.25">
      <c r="A811" s="65"/>
      <c r="B811" s="65"/>
      <c r="C811" s="66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  <c r="AD811" s="65"/>
      <c r="AE811" s="65"/>
      <c r="AF811" s="65"/>
      <c r="AG811" s="65"/>
      <c r="AH811" s="65"/>
      <c r="AI811" s="65"/>
      <c r="AJ811" s="65"/>
      <c r="AK811" s="65"/>
      <c r="AL811" s="65"/>
      <c r="AM811" s="65"/>
      <c r="AN811" s="65"/>
      <c r="AO811" s="65"/>
      <c r="AP811" s="65"/>
    </row>
    <row r="812" spans="1:42" ht="12.75" customHeight="1" x14ac:dyDescent="0.25">
      <c r="A812" s="65"/>
      <c r="B812" s="65"/>
      <c r="C812" s="66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  <c r="AD812" s="65"/>
      <c r="AE812" s="65"/>
      <c r="AF812" s="65"/>
      <c r="AG812" s="65"/>
      <c r="AH812" s="65"/>
      <c r="AI812" s="65"/>
      <c r="AJ812" s="65"/>
      <c r="AK812" s="65"/>
      <c r="AL812" s="65"/>
      <c r="AM812" s="65"/>
      <c r="AN812" s="65"/>
      <c r="AO812" s="65"/>
      <c r="AP812" s="65"/>
    </row>
    <row r="813" spans="1:42" ht="12.75" customHeight="1" x14ac:dyDescent="0.25">
      <c r="A813" s="65"/>
      <c r="B813" s="65"/>
      <c r="C813" s="66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  <c r="AD813" s="65"/>
      <c r="AE813" s="65"/>
      <c r="AF813" s="65"/>
      <c r="AG813" s="65"/>
      <c r="AH813" s="65"/>
      <c r="AI813" s="65"/>
      <c r="AJ813" s="65"/>
      <c r="AK813" s="65"/>
      <c r="AL813" s="65"/>
      <c r="AM813" s="65"/>
      <c r="AN813" s="65"/>
      <c r="AO813" s="65"/>
      <c r="AP813" s="65"/>
    </row>
    <row r="814" spans="1:42" ht="12.75" customHeight="1" x14ac:dyDescent="0.25">
      <c r="A814" s="65"/>
      <c r="B814" s="65"/>
      <c r="C814" s="66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  <c r="AD814" s="65"/>
      <c r="AE814" s="65"/>
      <c r="AF814" s="65"/>
      <c r="AG814" s="65"/>
      <c r="AH814" s="65"/>
      <c r="AI814" s="65"/>
      <c r="AJ814" s="65"/>
      <c r="AK814" s="65"/>
      <c r="AL814" s="65"/>
      <c r="AM814" s="65"/>
      <c r="AN814" s="65"/>
      <c r="AO814" s="65"/>
      <c r="AP814" s="65"/>
    </row>
    <row r="815" spans="1:42" ht="12.75" customHeight="1" x14ac:dyDescent="0.25">
      <c r="A815" s="65"/>
      <c r="B815" s="65"/>
      <c r="C815" s="66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  <c r="AD815" s="65"/>
      <c r="AE815" s="65"/>
      <c r="AF815" s="65"/>
      <c r="AG815" s="65"/>
      <c r="AH815" s="65"/>
      <c r="AI815" s="65"/>
      <c r="AJ815" s="65"/>
      <c r="AK815" s="65"/>
      <c r="AL815" s="65"/>
      <c r="AM815" s="65"/>
      <c r="AN815" s="65"/>
      <c r="AO815" s="65"/>
      <c r="AP815" s="65"/>
    </row>
    <row r="816" spans="1:42" ht="12.75" customHeight="1" x14ac:dyDescent="0.25">
      <c r="A816" s="65"/>
      <c r="B816" s="65"/>
      <c r="C816" s="66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  <c r="AD816" s="65"/>
      <c r="AE816" s="65"/>
      <c r="AF816" s="65"/>
      <c r="AG816" s="65"/>
      <c r="AH816" s="65"/>
      <c r="AI816" s="65"/>
      <c r="AJ816" s="65"/>
      <c r="AK816" s="65"/>
      <c r="AL816" s="65"/>
      <c r="AM816" s="65"/>
      <c r="AN816" s="65"/>
      <c r="AO816" s="65"/>
      <c r="AP816" s="65"/>
    </row>
    <row r="817" spans="1:42" ht="12.75" customHeight="1" x14ac:dyDescent="0.25">
      <c r="A817" s="65"/>
      <c r="B817" s="65"/>
      <c r="C817" s="66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  <c r="AD817" s="65"/>
      <c r="AE817" s="65"/>
      <c r="AF817" s="65"/>
      <c r="AG817" s="65"/>
      <c r="AH817" s="65"/>
      <c r="AI817" s="65"/>
      <c r="AJ817" s="65"/>
      <c r="AK817" s="65"/>
      <c r="AL817" s="65"/>
      <c r="AM817" s="65"/>
      <c r="AN817" s="65"/>
      <c r="AO817" s="65"/>
      <c r="AP817" s="65"/>
    </row>
    <row r="818" spans="1:42" ht="12.75" customHeight="1" x14ac:dyDescent="0.25">
      <c r="A818" s="65"/>
      <c r="B818" s="65"/>
      <c r="C818" s="66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  <c r="AD818" s="65"/>
      <c r="AE818" s="65"/>
      <c r="AF818" s="65"/>
      <c r="AG818" s="65"/>
      <c r="AH818" s="65"/>
      <c r="AI818" s="65"/>
      <c r="AJ818" s="65"/>
      <c r="AK818" s="65"/>
      <c r="AL818" s="65"/>
      <c r="AM818" s="65"/>
      <c r="AN818" s="65"/>
      <c r="AO818" s="65"/>
      <c r="AP818" s="65"/>
    </row>
    <row r="819" spans="1:42" ht="12.75" customHeight="1" x14ac:dyDescent="0.25">
      <c r="A819" s="65"/>
      <c r="B819" s="65"/>
      <c r="C819" s="66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  <c r="AD819" s="65"/>
      <c r="AE819" s="65"/>
      <c r="AF819" s="65"/>
      <c r="AG819" s="65"/>
      <c r="AH819" s="65"/>
      <c r="AI819" s="65"/>
      <c r="AJ819" s="65"/>
      <c r="AK819" s="65"/>
      <c r="AL819" s="65"/>
      <c r="AM819" s="65"/>
      <c r="AN819" s="65"/>
      <c r="AO819" s="65"/>
      <c r="AP819" s="65"/>
    </row>
    <row r="820" spans="1:42" ht="12.75" customHeight="1" x14ac:dyDescent="0.25">
      <c r="A820" s="65"/>
      <c r="B820" s="65"/>
      <c r="C820" s="66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  <c r="AD820" s="65"/>
      <c r="AE820" s="65"/>
      <c r="AF820" s="65"/>
      <c r="AG820" s="65"/>
      <c r="AH820" s="65"/>
      <c r="AI820" s="65"/>
      <c r="AJ820" s="65"/>
      <c r="AK820" s="65"/>
      <c r="AL820" s="65"/>
      <c r="AM820" s="65"/>
      <c r="AN820" s="65"/>
      <c r="AO820" s="65"/>
      <c r="AP820" s="65"/>
    </row>
    <row r="821" spans="1:42" ht="12.75" customHeight="1" x14ac:dyDescent="0.25">
      <c r="A821" s="65"/>
      <c r="B821" s="65"/>
      <c r="C821" s="66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  <c r="AD821" s="65"/>
      <c r="AE821" s="65"/>
      <c r="AF821" s="65"/>
      <c r="AG821" s="65"/>
      <c r="AH821" s="65"/>
      <c r="AI821" s="65"/>
      <c r="AJ821" s="65"/>
      <c r="AK821" s="65"/>
      <c r="AL821" s="65"/>
      <c r="AM821" s="65"/>
      <c r="AN821" s="65"/>
      <c r="AO821" s="65"/>
      <c r="AP821" s="65"/>
    </row>
    <row r="822" spans="1:42" ht="12.75" customHeight="1" x14ac:dyDescent="0.25">
      <c r="A822" s="65"/>
      <c r="B822" s="65"/>
      <c r="C822" s="66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65"/>
      <c r="AG822" s="65"/>
      <c r="AH822" s="65"/>
      <c r="AI822" s="65"/>
      <c r="AJ822" s="65"/>
      <c r="AK822" s="65"/>
      <c r="AL822" s="65"/>
      <c r="AM822" s="65"/>
      <c r="AN822" s="65"/>
      <c r="AO822" s="65"/>
      <c r="AP822" s="65"/>
    </row>
    <row r="823" spans="1:42" ht="12.75" customHeight="1" x14ac:dyDescent="0.25">
      <c r="A823" s="65"/>
      <c r="B823" s="65"/>
      <c r="C823" s="66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  <c r="AD823" s="65"/>
      <c r="AE823" s="65"/>
      <c r="AF823" s="65"/>
      <c r="AG823" s="65"/>
      <c r="AH823" s="65"/>
      <c r="AI823" s="65"/>
      <c r="AJ823" s="65"/>
      <c r="AK823" s="65"/>
      <c r="AL823" s="65"/>
      <c r="AM823" s="65"/>
      <c r="AN823" s="65"/>
      <c r="AO823" s="65"/>
      <c r="AP823" s="65"/>
    </row>
    <row r="824" spans="1:42" ht="12.75" customHeight="1" x14ac:dyDescent="0.25">
      <c r="A824" s="65"/>
      <c r="B824" s="65"/>
      <c r="C824" s="66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  <c r="AD824" s="65"/>
      <c r="AE824" s="65"/>
      <c r="AF824" s="65"/>
      <c r="AG824" s="65"/>
      <c r="AH824" s="65"/>
      <c r="AI824" s="65"/>
      <c r="AJ824" s="65"/>
      <c r="AK824" s="65"/>
      <c r="AL824" s="65"/>
      <c r="AM824" s="65"/>
      <c r="AN824" s="65"/>
      <c r="AO824" s="65"/>
      <c r="AP824" s="65"/>
    </row>
    <row r="825" spans="1:42" ht="12.75" customHeight="1" x14ac:dyDescent="0.25">
      <c r="A825" s="65"/>
      <c r="B825" s="65"/>
      <c r="C825" s="66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  <c r="AD825" s="65"/>
      <c r="AE825" s="65"/>
      <c r="AF825" s="65"/>
      <c r="AG825" s="65"/>
      <c r="AH825" s="65"/>
      <c r="AI825" s="65"/>
      <c r="AJ825" s="65"/>
      <c r="AK825" s="65"/>
      <c r="AL825" s="65"/>
      <c r="AM825" s="65"/>
      <c r="AN825" s="65"/>
      <c r="AO825" s="65"/>
      <c r="AP825" s="65"/>
    </row>
    <row r="826" spans="1:42" ht="12.75" customHeight="1" x14ac:dyDescent="0.25">
      <c r="A826" s="65"/>
      <c r="B826" s="65"/>
      <c r="C826" s="66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  <c r="AD826" s="65"/>
      <c r="AE826" s="65"/>
      <c r="AF826" s="65"/>
      <c r="AG826" s="65"/>
      <c r="AH826" s="65"/>
      <c r="AI826" s="65"/>
      <c r="AJ826" s="65"/>
      <c r="AK826" s="65"/>
      <c r="AL826" s="65"/>
      <c r="AM826" s="65"/>
      <c r="AN826" s="65"/>
      <c r="AO826" s="65"/>
      <c r="AP826" s="65"/>
    </row>
    <row r="827" spans="1:42" ht="12.75" customHeight="1" x14ac:dyDescent="0.25">
      <c r="A827" s="65"/>
      <c r="B827" s="65"/>
      <c r="C827" s="66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  <c r="AD827" s="65"/>
      <c r="AE827" s="65"/>
      <c r="AF827" s="65"/>
      <c r="AG827" s="65"/>
      <c r="AH827" s="65"/>
      <c r="AI827" s="65"/>
      <c r="AJ827" s="65"/>
      <c r="AK827" s="65"/>
      <c r="AL827" s="65"/>
      <c r="AM827" s="65"/>
      <c r="AN827" s="65"/>
      <c r="AO827" s="65"/>
      <c r="AP827" s="65"/>
    </row>
    <row r="828" spans="1:42" ht="12.75" customHeight="1" x14ac:dyDescent="0.25">
      <c r="A828" s="65"/>
      <c r="B828" s="65"/>
      <c r="C828" s="66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  <c r="AD828" s="65"/>
      <c r="AE828" s="65"/>
      <c r="AF828" s="65"/>
      <c r="AG828" s="65"/>
      <c r="AH828" s="65"/>
      <c r="AI828" s="65"/>
      <c r="AJ828" s="65"/>
      <c r="AK828" s="65"/>
      <c r="AL828" s="65"/>
      <c r="AM828" s="65"/>
      <c r="AN828" s="65"/>
      <c r="AO828" s="65"/>
      <c r="AP828" s="65"/>
    </row>
    <row r="829" spans="1:42" ht="12.75" customHeight="1" x14ac:dyDescent="0.25">
      <c r="A829" s="65"/>
      <c r="B829" s="65"/>
      <c r="C829" s="66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  <c r="AD829" s="65"/>
      <c r="AE829" s="65"/>
      <c r="AF829" s="65"/>
      <c r="AG829" s="65"/>
      <c r="AH829" s="65"/>
      <c r="AI829" s="65"/>
      <c r="AJ829" s="65"/>
      <c r="AK829" s="65"/>
      <c r="AL829" s="65"/>
      <c r="AM829" s="65"/>
      <c r="AN829" s="65"/>
      <c r="AO829" s="65"/>
      <c r="AP829" s="65"/>
    </row>
    <row r="830" spans="1:42" ht="12.75" customHeight="1" x14ac:dyDescent="0.25">
      <c r="A830" s="65"/>
      <c r="B830" s="65"/>
      <c r="C830" s="66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  <c r="AD830" s="65"/>
      <c r="AE830" s="65"/>
      <c r="AF830" s="65"/>
      <c r="AG830" s="65"/>
      <c r="AH830" s="65"/>
      <c r="AI830" s="65"/>
      <c r="AJ830" s="65"/>
      <c r="AK830" s="65"/>
      <c r="AL830" s="65"/>
      <c r="AM830" s="65"/>
      <c r="AN830" s="65"/>
      <c r="AO830" s="65"/>
      <c r="AP830" s="65"/>
    </row>
    <row r="831" spans="1:42" ht="12.75" customHeight="1" x14ac:dyDescent="0.25">
      <c r="A831" s="65"/>
      <c r="B831" s="65"/>
      <c r="C831" s="66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  <c r="AD831" s="65"/>
      <c r="AE831" s="65"/>
      <c r="AF831" s="65"/>
      <c r="AG831" s="65"/>
      <c r="AH831" s="65"/>
      <c r="AI831" s="65"/>
      <c r="AJ831" s="65"/>
      <c r="AK831" s="65"/>
      <c r="AL831" s="65"/>
      <c r="AM831" s="65"/>
      <c r="AN831" s="65"/>
      <c r="AO831" s="65"/>
      <c r="AP831" s="65"/>
    </row>
    <row r="832" spans="1:42" ht="12.75" customHeight="1" x14ac:dyDescent="0.25">
      <c r="A832" s="65"/>
      <c r="B832" s="65"/>
      <c r="C832" s="66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  <c r="AD832" s="65"/>
      <c r="AE832" s="65"/>
      <c r="AF832" s="65"/>
      <c r="AG832" s="65"/>
      <c r="AH832" s="65"/>
      <c r="AI832" s="65"/>
      <c r="AJ832" s="65"/>
      <c r="AK832" s="65"/>
      <c r="AL832" s="65"/>
      <c r="AM832" s="65"/>
      <c r="AN832" s="65"/>
      <c r="AO832" s="65"/>
      <c r="AP832" s="65"/>
    </row>
    <row r="833" spans="1:42" ht="12.75" customHeight="1" x14ac:dyDescent="0.25">
      <c r="A833" s="65"/>
      <c r="B833" s="65"/>
      <c r="C833" s="66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  <c r="AD833" s="65"/>
      <c r="AE833" s="65"/>
      <c r="AF833" s="65"/>
      <c r="AG833" s="65"/>
      <c r="AH833" s="65"/>
      <c r="AI833" s="65"/>
      <c r="AJ833" s="65"/>
      <c r="AK833" s="65"/>
      <c r="AL833" s="65"/>
      <c r="AM833" s="65"/>
      <c r="AN833" s="65"/>
      <c r="AO833" s="65"/>
      <c r="AP833" s="65"/>
    </row>
    <row r="834" spans="1:42" ht="12.75" customHeight="1" x14ac:dyDescent="0.25">
      <c r="A834" s="65"/>
      <c r="B834" s="65"/>
      <c r="C834" s="66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  <c r="AD834" s="65"/>
      <c r="AE834" s="65"/>
      <c r="AF834" s="65"/>
      <c r="AG834" s="65"/>
      <c r="AH834" s="65"/>
      <c r="AI834" s="65"/>
      <c r="AJ834" s="65"/>
      <c r="AK834" s="65"/>
      <c r="AL834" s="65"/>
      <c r="AM834" s="65"/>
      <c r="AN834" s="65"/>
      <c r="AO834" s="65"/>
      <c r="AP834" s="65"/>
    </row>
    <row r="835" spans="1:42" ht="12.75" customHeight="1" x14ac:dyDescent="0.25">
      <c r="A835" s="65"/>
      <c r="B835" s="65"/>
      <c r="C835" s="66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  <c r="AD835" s="65"/>
      <c r="AE835" s="65"/>
      <c r="AF835" s="65"/>
      <c r="AG835" s="65"/>
      <c r="AH835" s="65"/>
      <c r="AI835" s="65"/>
      <c r="AJ835" s="65"/>
      <c r="AK835" s="65"/>
      <c r="AL835" s="65"/>
      <c r="AM835" s="65"/>
      <c r="AN835" s="65"/>
      <c r="AO835" s="65"/>
      <c r="AP835" s="65"/>
    </row>
    <row r="836" spans="1:42" ht="12.75" customHeight="1" x14ac:dyDescent="0.25">
      <c r="A836" s="65"/>
      <c r="B836" s="65"/>
      <c r="C836" s="66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  <c r="AD836" s="65"/>
      <c r="AE836" s="65"/>
      <c r="AF836" s="65"/>
      <c r="AG836" s="65"/>
      <c r="AH836" s="65"/>
      <c r="AI836" s="65"/>
      <c r="AJ836" s="65"/>
      <c r="AK836" s="65"/>
      <c r="AL836" s="65"/>
      <c r="AM836" s="65"/>
      <c r="AN836" s="65"/>
      <c r="AO836" s="65"/>
      <c r="AP836" s="65"/>
    </row>
    <row r="837" spans="1:42" ht="12.75" customHeight="1" x14ac:dyDescent="0.25">
      <c r="A837" s="65"/>
      <c r="B837" s="65"/>
      <c r="C837" s="66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  <c r="AD837" s="65"/>
      <c r="AE837" s="65"/>
      <c r="AF837" s="65"/>
      <c r="AG837" s="65"/>
      <c r="AH837" s="65"/>
      <c r="AI837" s="65"/>
      <c r="AJ837" s="65"/>
      <c r="AK837" s="65"/>
      <c r="AL837" s="65"/>
      <c r="AM837" s="65"/>
      <c r="AN837" s="65"/>
      <c r="AO837" s="65"/>
      <c r="AP837" s="65"/>
    </row>
    <row r="838" spans="1:42" ht="12.75" customHeight="1" x14ac:dyDescent="0.25">
      <c r="A838" s="65"/>
      <c r="B838" s="65"/>
      <c r="C838" s="66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  <c r="AD838" s="65"/>
      <c r="AE838" s="65"/>
      <c r="AF838" s="65"/>
      <c r="AG838" s="65"/>
      <c r="AH838" s="65"/>
      <c r="AI838" s="65"/>
      <c r="AJ838" s="65"/>
      <c r="AK838" s="65"/>
      <c r="AL838" s="65"/>
      <c r="AM838" s="65"/>
      <c r="AN838" s="65"/>
      <c r="AO838" s="65"/>
      <c r="AP838" s="65"/>
    </row>
    <row r="839" spans="1:42" ht="12.75" customHeight="1" x14ac:dyDescent="0.25">
      <c r="A839" s="65"/>
      <c r="B839" s="65"/>
      <c r="C839" s="66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  <c r="AD839" s="65"/>
      <c r="AE839" s="65"/>
      <c r="AF839" s="65"/>
      <c r="AG839" s="65"/>
      <c r="AH839" s="65"/>
      <c r="AI839" s="65"/>
      <c r="AJ839" s="65"/>
      <c r="AK839" s="65"/>
      <c r="AL839" s="65"/>
      <c r="AM839" s="65"/>
      <c r="AN839" s="65"/>
      <c r="AO839" s="65"/>
      <c r="AP839" s="65"/>
    </row>
    <row r="840" spans="1:42" ht="12.75" customHeight="1" x14ac:dyDescent="0.25">
      <c r="A840" s="65"/>
      <c r="B840" s="65"/>
      <c r="C840" s="66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  <c r="AD840" s="65"/>
      <c r="AE840" s="65"/>
      <c r="AF840" s="65"/>
      <c r="AG840" s="65"/>
      <c r="AH840" s="65"/>
      <c r="AI840" s="65"/>
      <c r="AJ840" s="65"/>
      <c r="AK840" s="65"/>
      <c r="AL840" s="65"/>
      <c r="AM840" s="65"/>
      <c r="AN840" s="65"/>
      <c r="AO840" s="65"/>
      <c r="AP840" s="65"/>
    </row>
    <row r="841" spans="1:42" ht="12.75" customHeight="1" x14ac:dyDescent="0.25">
      <c r="A841" s="65"/>
      <c r="B841" s="65"/>
      <c r="C841" s="66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  <c r="AD841" s="65"/>
      <c r="AE841" s="65"/>
      <c r="AF841" s="65"/>
      <c r="AG841" s="65"/>
      <c r="AH841" s="65"/>
      <c r="AI841" s="65"/>
      <c r="AJ841" s="65"/>
      <c r="AK841" s="65"/>
      <c r="AL841" s="65"/>
      <c r="AM841" s="65"/>
      <c r="AN841" s="65"/>
      <c r="AO841" s="65"/>
      <c r="AP841" s="65"/>
    </row>
    <row r="842" spans="1:42" ht="12.75" customHeight="1" x14ac:dyDescent="0.25">
      <c r="A842" s="65"/>
      <c r="B842" s="65"/>
      <c r="C842" s="66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  <c r="AD842" s="65"/>
      <c r="AE842" s="65"/>
      <c r="AF842" s="65"/>
      <c r="AG842" s="65"/>
      <c r="AH842" s="65"/>
      <c r="AI842" s="65"/>
      <c r="AJ842" s="65"/>
      <c r="AK842" s="65"/>
      <c r="AL842" s="65"/>
      <c r="AM842" s="65"/>
      <c r="AN842" s="65"/>
      <c r="AO842" s="65"/>
      <c r="AP842" s="65"/>
    </row>
    <row r="843" spans="1:42" ht="12.75" customHeight="1" x14ac:dyDescent="0.25">
      <c r="A843" s="65"/>
      <c r="B843" s="65"/>
      <c r="C843" s="66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  <c r="AD843" s="65"/>
      <c r="AE843" s="65"/>
      <c r="AF843" s="65"/>
      <c r="AG843" s="65"/>
      <c r="AH843" s="65"/>
      <c r="AI843" s="65"/>
      <c r="AJ843" s="65"/>
      <c r="AK843" s="65"/>
      <c r="AL843" s="65"/>
      <c r="AM843" s="65"/>
      <c r="AN843" s="65"/>
      <c r="AO843" s="65"/>
      <c r="AP843" s="65"/>
    </row>
    <row r="844" spans="1:42" ht="12.75" customHeight="1" x14ac:dyDescent="0.25">
      <c r="A844" s="65"/>
      <c r="B844" s="65"/>
      <c r="C844" s="66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  <c r="AD844" s="65"/>
      <c r="AE844" s="65"/>
      <c r="AF844" s="65"/>
      <c r="AG844" s="65"/>
      <c r="AH844" s="65"/>
      <c r="AI844" s="65"/>
      <c r="AJ844" s="65"/>
      <c r="AK844" s="65"/>
      <c r="AL844" s="65"/>
      <c r="AM844" s="65"/>
      <c r="AN844" s="65"/>
      <c r="AO844" s="65"/>
      <c r="AP844" s="65"/>
    </row>
    <row r="845" spans="1:42" ht="12.75" customHeight="1" x14ac:dyDescent="0.25">
      <c r="A845" s="65"/>
      <c r="B845" s="65"/>
      <c r="C845" s="66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  <c r="AD845" s="65"/>
      <c r="AE845" s="65"/>
      <c r="AF845" s="65"/>
      <c r="AG845" s="65"/>
      <c r="AH845" s="65"/>
      <c r="AI845" s="65"/>
      <c r="AJ845" s="65"/>
      <c r="AK845" s="65"/>
      <c r="AL845" s="65"/>
      <c r="AM845" s="65"/>
      <c r="AN845" s="65"/>
      <c r="AO845" s="65"/>
      <c r="AP845" s="65"/>
    </row>
    <row r="846" spans="1:42" ht="12.75" customHeight="1" x14ac:dyDescent="0.25">
      <c r="A846" s="65"/>
      <c r="B846" s="65"/>
      <c r="C846" s="66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  <c r="AD846" s="65"/>
      <c r="AE846" s="65"/>
      <c r="AF846" s="65"/>
      <c r="AG846" s="65"/>
      <c r="AH846" s="65"/>
      <c r="AI846" s="65"/>
      <c r="AJ846" s="65"/>
      <c r="AK846" s="65"/>
      <c r="AL846" s="65"/>
      <c r="AM846" s="65"/>
      <c r="AN846" s="65"/>
      <c r="AO846" s="65"/>
      <c r="AP846" s="65"/>
    </row>
    <row r="847" spans="1:42" ht="12.75" customHeight="1" x14ac:dyDescent="0.25">
      <c r="A847" s="65"/>
      <c r="B847" s="65"/>
      <c r="C847" s="66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  <c r="AD847" s="65"/>
      <c r="AE847" s="65"/>
      <c r="AF847" s="65"/>
      <c r="AG847" s="65"/>
      <c r="AH847" s="65"/>
      <c r="AI847" s="65"/>
      <c r="AJ847" s="65"/>
      <c r="AK847" s="65"/>
      <c r="AL847" s="65"/>
      <c r="AM847" s="65"/>
      <c r="AN847" s="65"/>
      <c r="AO847" s="65"/>
      <c r="AP847" s="65"/>
    </row>
    <row r="848" spans="1:42" ht="12.75" customHeight="1" x14ac:dyDescent="0.25">
      <c r="A848" s="65"/>
      <c r="B848" s="65"/>
      <c r="C848" s="66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  <c r="AD848" s="65"/>
      <c r="AE848" s="65"/>
      <c r="AF848" s="65"/>
      <c r="AG848" s="65"/>
      <c r="AH848" s="65"/>
      <c r="AI848" s="65"/>
      <c r="AJ848" s="65"/>
      <c r="AK848" s="65"/>
      <c r="AL848" s="65"/>
      <c r="AM848" s="65"/>
      <c r="AN848" s="65"/>
      <c r="AO848" s="65"/>
      <c r="AP848" s="65"/>
    </row>
    <row r="849" spans="1:42" ht="12.75" customHeight="1" x14ac:dyDescent="0.25">
      <c r="A849" s="65"/>
      <c r="B849" s="65"/>
      <c r="C849" s="66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  <c r="AD849" s="65"/>
      <c r="AE849" s="65"/>
      <c r="AF849" s="65"/>
      <c r="AG849" s="65"/>
      <c r="AH849" s="65"/>
      <c r="AI849" s="65"/>
      <c r="AJ849" s="65"/>
      <c r="AK849" s="65"/>
      <c r="AL849" s="65"/>
      <c r="AM849" s="65"/>
      <c r="AN849" s="65"/>
      <c r="AO849" s="65"/>
      <c r="AP849" s="65"/>
    </row>
    <row r="850" spans="1:42" ht="12.75" customHeight="1" x14ac:dyDescent="0.25">
      <c r="A850" s="65"/>
      <c r="B850" s="65"/>
      <c r="C850" s="66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  <c r="AD850" s="65"/>
      <c r="AE850" s="65"/>
      <c r="AF850" s="65"/>
      <c r="AG850" s="65"/>
      <c r="AH850" s="65"/>
      <c r="AI850" s="65"/>
      <c r="AJ850" s="65"/>
      <c r="AK850" s="65"/>
      <c r="AL850" s="65"/>
      <c r="AM850" s="65"/>
      <c r="AN850" s="65"/>
      <c r="AO850" s="65"/>
      <c r="AP850" s="65"/>
    </row>
    <row r="851" spans="1:42" ht="12.75" customHeight="1" x14ac:dyDescent="0.25">
      <c r="A851" s="65"/>
      <c r="B851" s="65"/>
      <c r="C851" s="66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  <c r="AD851" s="65"/>
      <c r="AE851" s="65"/>
      <c r="AF851" s="65"/>
      <c r="AG851" s="65"/>
      <c r="AH851" s="65"/>
      <c r="AI851" s="65"/>
      <c r="AJ851" s="65"/>
      <c r="AK851" s="65"/>
      <c r="AL851" s="65"/>
      <c r="AM851" s="65"/>
      <c r="AN851" s="65"/>
      <c r="AO851" s="65"/>
      <c r="AP851" s="65"/>
    </row>
    <row r="852" spans="1:42" ht="12.75" customHeight="1" x14ac:dyDescent="0.25">
      <c r="A852" s="65"/>
      <c r="B852" s="65"/>
      <c r="C852" s="66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  <c r="AD852" s="65"/>
      <c r="AE852" s="65"/>
      <c r="AF852" s="65"/>
      <c r="AG852" s="65"/>
      <c r="AH852" s="65"/>
      <c r="AI852" s="65"/>
      <c r="AJ852" s="65"/>
      <c r="AK852" s="65"/>
      <c r="AL852" s="65"/>
      <c r="AM852" s="65"/>
      <c r="AN852" s="65"/>
      <c r="AO852" s="65"/>
      <c r="AP852" s="65"/>
    </row>
    <row r="853" spans="1:42" ht="12.75" customHeight="1" x14ac:dyDescent="0.25">
      <c r="A853" s="65"/>
      <c r="B853" s="65"/>
      <c r="C853" s="66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  <c r="AD853" s="65"/>
      <c r="AE853" s="65"/>
      <c r="AF853" s="65"/>
      <c r="AG853" s="65"/>
      <c r="AH853" s="65"/>
      <c r="AI853" s="65"/>
      <c r="AJ853" s="65"/>
      <c r="AK853" s="65"/>
      <c r="AL853" s="65"/>
      <c r="AM853" s="65"/>
      <c r="AN853" s="65"/>
      <c r="AO853" s="65"/>
      <c r="AP853" s="65"/>
    </row>
    <row r="854" spans="1:42" ht="12.75" customHeight="1" x14ac:dyDescent="0.25">
      <c r="A854" s="65"/>
      <c r="B854" s="65"/>
      <c r="C854" s="66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  <c r="AD854" s="65"/>
      <c r="AE854" s="65"/>
      <c r="AF854" s="65"/>
      <c r="AG854" s="65"/>
      <c r="AH854" s="65"/>
      <c r="AI854" s="65"/>
      <c r="AJ854" s="65"/>
      <c r="AK854" s="65"/>
      <c r="AL854" s="65"/>
      <c r="AM854" s="65"/>
      <c r="AN854" s="65"/>
      <c r="AO854" s="65"/>
      <c r="AP854" s="65"/>
    </row>
    <row r="855" spans="1:42" ht="12.75" customHeight="1" x14ac:dyDescent="0.25">
      <c r="A855" s="65"/>
      <c r="B855" s="65"/>
      <c r="C855" s="66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  <c r="AD855" s="65"/>
      <c r="AE855" s="65"/>
      <c r="AF855" s="65"/>
      <c r="AG855" s="65"/>
      <c r="AH855" s="65"/>
      <c r="AI855" s="65"/>
      <c r="AJ855" s="65"/>
      <c r="AK855" s="65"/>
      <c r="AL855" s="65"/>
      <c r="AM855" s="65"/>
      <c r="AN855" s="65"/>
      <c r="AO855" s="65"/>
      <c r="AP855" s="65"/>
    </row>
    <row r="856" spans="1:42" ht="12.75" customHeight="1" x14ac:dyDescent="0.25">
      <c r="A856" s="65"/>
      <c r="B856" s="65"/>
      <c r="C856" s="66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  <c r="AD856" s="65"/>
      <c r="AE856" s="65"/>
      <c r="AF856" s="65"/>
      <c r="AG856" s="65"/>
      <c r="AH856" s="65"/>
      <c r="AI856" s="65"/>
      <c r="AJ856" s="65"/>
      <c r="AK856" s="65"/>
      <c r="AL856" s="65"/>
      <c r="AM856" s="65"/>
      <c r="AN856" s="65"/>
      <c r="AO856" s="65"/>
      <c r="AP856" s="65"/>
    </row>
    <row r="857" spans="1:42" ht="12.75" customHeight="1" x14ac:dyDescent="0.25">
      <c r="A857" s="65"/>
      <c r="B857" s="65"/>
      <c r="C857" s="66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  <c r="AD857" s="65"/>
      <c r="AE857" s="65"/>
      <c r="AF857" s="65"/>
      <c r="AG857" s="65"/>
      <c r="AH857" s="65"/>
      <c r="AI857" s="65"/>
      <c r="AJ857" s="65"/>
      <c r="AK857" s="65"/>
      <c r="AL857" s="65"/>
      <c r="AM857" s="65"/>
      <c r="AN857" s="65"/>
      <c r="AO857" s="65"/>
      <c r="AP857" s="65"/>
    </row>
    <row r="858" spans="1:42" ht="12.75" customHeight="1" x14ac:dyDescent="0.25">
      <c r="A858" s="65"/>
      <c r="B858" s="65"/>
      <c r="C858" s="66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  <c r="AD858" s="65"/>
      <c r="AE858" s="65"/>
      <c r="AF858" s="65"/>
      <c r="AG858" s="65"/>
      <c r="AH858" s="65"/>
      <c r="AI858" s="65"/>
      <c r="AJ858" s="65"/>
      <c r="AK858" s="65"/>
      <c r="AL858" s="65"/>
      <c r="AM858" s="65"/>
      <c r="AN858" s="65"/>
      <c r="AO858" s="65"/>
      <c r="AP858" s="65"/>
    </row>
    <row r="859" spans="1:42" ht="12.75" customHeight="1" x14ac:dyDescent="0.25">
      <c r="A859" s="65"/>
      <c r="B859" s="65"/>
      <c r="C859" s="66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  <c r="AD859" s="65"/>
      <c r="AE859" s="65"/>
      <c r="AF859" s="65"/>
      <c r="AG859" s="65"/>
      <c r="AH859" s="65"/>
      <c r="AI859" s="65"/>
      <c r="AJ859" s="65"/>
      <c r="AK859" s="65"/>
      <c r="AL859" s="65"/>
      <c r="AM859" s="65"/>
      <c r="AN859" s="65"/>
      <c r="AO859" s="65"/>
      <c r="AP859" s="65"/>
    </row>
    <row r="860" spans="1:42" ht="12.75" customHeight="1" x14ac:dyDescent="0.25">
      <c r="A860" s="65"/>
      <c r="B860" s="65"/>
      <c r="C860" s="66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  <c r="AD860" s="65"/>
      <c r="AE860" s="65"/>
      <c r="AF860" s="65"/>
      <c r="AG860" s="65"/>
      <c r="AH860" s="65"/>
      <c r="AI860" s="65"/>
      <c r="AJ860" s="65"/>
      <c r="AK860" s="65"/>
      <c r="AL860" s="65"/>
      <c r="AM860" s="65"/>
      <c r="AN860" s="65"/>
      <c r="AO860" s="65"/>
      <c r="AP860" s="65"/>
    </row>
    <row r="861" spans="1:42" ht="12.75" customHeight="1" x14ac:dyDescent="0.25">
      <c r="A861" s="65"/>
      <c r="B861" s="65"/>
      <c r="C861" s="66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  <c r="AD861" s="65"/>
      <c r="AE861" s="65"/>
      <c r="AF861" s="65"/>
      <c r="AG861" s="65"/>
      <c r="AH861" s="65"/>
      <c r="AI861" s="65"/>
      <c r="AJ861" s="65"/>
      <c r="AK861" s="65"/>
      <c r="AL861" s="65"/>
      <c r="AM861" s="65"/>
      <c r="AN861" s="65"/>
      <c r="AO861" s="65"/>
      <c r="AP861" s="65"/>
    </row>
    <row r="862" spans="1:42" ht="12.75" customHeight="1" x14ac:dyDescent="0.25">
      <c r="A862" s="65"/>
      <c r="B862" s="65"/>
      <c r="C862" s="66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  <c r="AD862" s="65"/>
      <c r="AE862" s="65"/>
      <c r="AF862" s="65"/>
      <c r="AG862" s="65"/>
      <c r="AH862" s="65"/>
      <c r="AI862" s="65"/>
      <c r="AJ862" s="65"/>
      <c r="AK862" s="65"/>
      <c r="AL862" s="65"/>
      <c r="AM862" s="65"/>
      <c r="AN862" s="65"/>
      <c r="AO862" s="65"/>
      <c r="AP862" s="65"/>
    </row>
    <row r="863" spans="1:42" ht="12.75" customHeight="1" x14ac:dyDescent="0.25">
      <c r="A863" s="65"/>
      <c r="B863" s="65"/>
      <c r="C863" s="66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  <c r="AD863" s="65"/>
      <c r="AE863" s="65"/>
      <c r="AF863" s="65"/>
      <c r="AG863" s="65"/>
      <c r="AH863" s="65"/>
      <c r="AI863" s="65"/>
      <c r="AJ863" s="65"/>
      <c r="AK863" s="65"/>
      <c r="AL863" s="65"/>
      <c r="AM863" s="65"/>
      <c r="AN863" s="65"/>
      <c r="AO863" s="65"/>
      <c r="AP863" s="65"/>
    </row>
    <row r="864" spans="1:42" ht="12.75" customHeight="1" x14ac:dyDescent="0.25">
      <c r="A864" s="65"/>
      <c r="B864" s="65"/>
      <c r="C864" s="66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  <c r="AD864" s="65"/>
      <c r="AE864" s="65"/>
      <c r="AF864" s="65"/>
      <c r="AG864" s="65"/>
      <c r="AH864" s="65"/>
      <c r="AI864" s="65"/>
      <c r="AJ864" s="65"/>
      <c r="AK864" s="65"/>
      <c r="AL864" s="65"/>
      <c r="AM864" s="65"/>
      <c r="AN864" s="65"/>
      <c r="AO864" s="65"/>
      <c r="AP864" s="65"/>
    </row>
    <row r="865" spans="1:42" ht="12.75" customHeight="1" x14ac:dyDescent="0.25">
      <c r="A865" s="65"/>
      <c r="B865" s="65"/>
      <c r="C865" s="66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  <c r="AD865" s="65"/>
      <c r="AE865" s="65"/>
      <c r="AF865" s="65"/>
      <c r="AG865" s="65"/>
      <c r="AH865" s="65"/>
      <c r="AI865" s="65"/>
      <c r="AJ865" s="65"/>
      <c r="AK865" s="65"/>
      <c r="AL865" s="65"/>
      <c r="AM865" s="65"/>
      <c r="AN865" s="65"/>
      <c r="AO865" s="65"/>
      <c r="AP865" s="65"/>
    </row>
    <row r="866" spans="1:42" ht="12.75" customHeight="1" x14ac:dyDescent="0.25">
      <c r="A866" s="65"/>
      <c r="B866" s="65"/>
      <c r="C866" s="66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  <c r="AD866" s="65"/>
      <c r="AE866" s="65"/>
      <c r="AF866" s="65"/>
      <c r="AG866" s="65"/>
      <c r="AH866" s="65"/>
      <c r="AI866" s="65"/>
      <c r="AJ866" s="65"/>
      <c r="AK866" s="65"/>
      <c r="AL866" s="65"/>
      <c r="AM866" s="65"/>
      <c r="AN866" s="65"/>
      <c r="AO866" s="65"/>
      <c r="AP866" s="65"/>
    </row>
    <row r="867" spans="1:42" ht="12.75" customHeight="1" x14ac:dyDescent="0.25">
      <c r="A867" s="65"/>
      <c r="B867" s="65"/>
      <c r="C867" s="66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  <c r="AD867" s="65"/>
      <c r="AE867" s="65"/>
      <c r="AF867" s="65"/>
      <c r="AG867" s="65"/>
      <c r="AH867" s="65"/>
      <c r="AI867" s="65"/>
      <c r="AJ867" s="65"/>
      <c r="AK867" s="65"/>
      <c r="AL867" s="65"/>
      <c r="AM867" s="65"/>
      <c r="AN867" s="65"/>
      <c r="AO867" s="65"/>
      <c r="AP867" s="65"/>
    </row>
    <row r="868" spans="1:42" ht="12.75" customHeight="1" x14ac:dyDescent="0.25">
      <c r="A868" s="65"/>
      <c r="B868" s="65"/>
      <c r="C868" s="66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  <c r="AD868" s="65"/>
      <c r="AE868" s="65"/>
      <c r="AF868" s="65"/>
      <c r="AG868" s="65"/>
      <c r="AH868" s="65"/>
      <c r="AI868" s="65"/>
      <c r="AJ868" s="65"/>
      <c r="AK868" s="65"/>
      <c r="AL868" s="65"/>
      <c r="AM868" s="65"/>
      <c r="AN868" s="65"/>
      <c r="AO868" s="65"/>
      <c r="AP868" s="65"/>
    </row>
    <row r="869" spans="1:42" ht="12.75" customHeight="1" x14ac:dyDescent="0.25">
      <c r="A869" s="65"/>
      <c r="B869" s="65"/>
      <c r="C869" s="66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  <c r="AD869" s="65"/>
      <c r="AE869" s="65"/>
      <c r="AF869" s="65"/>
      <c r="AG869" s="65"/>
      <c r="AH869" s="65"/>
      <c r="AI869" s="65"/>
      <c r="AJ869" s="65"/>
      <c r="AK869" s="65"/>
      <c r="AL869" s="65"/>
      <c r="AM869" s="65"/>
      <c r="AN869" s="65"/>
      <c r="AO869" s="65"/>
      <c r="AP869" s="65"/>
    </row>
    <row r="870" spans="1:42" ht="12.75" customHeight="1" x14ac:dyDescent="0.25">
      <c r="A870" s="65"/>
      <c r="B870" s="65"/>
      <c r="C870" s="66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  <c r="AD870" s="65"/>
      <c r="AE870" s="65"/>
      <c r="AF870" s="65"/>
      <c r="AG870" s="65"/>
      <c r="AH870" s="65"/>
      <c r="AI870" s="65"/>
      <c r="AJ870" s="65"/>
      <c r="AK870" s="65"/>
      <c r="AL870" s="65"/>
      <c r="AM870" s="65"/>
      <c r="AN870" s="65"/>
      <c r="AO870" s="65"/>
      <c r="AP870" s="65"/>
    </row>
    <row r="871" spans="1:42" ht="12.75" customHeight="1" x14ac:dyDescent="0.25">
      <c r="A871" s="65"/>
      <c r="B871" s="65"/>
      <c r="C871" s="66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  <c r="AD871" s="65"/>
      <c r="AE871" s="65"/>
      <c r="AF871" s="65"/>
      <c r="AG871" s="65"/>
      <c r="AH871" s="65"/>
      <c r="AI871" s="65"/>
      <c r="AJ871" s="65"/>
      <c r="AK871" s="65"/>
      <c r="AL871" s="65"/>
      <c r="AM871" s="65"/>
      <c r="AN871" s="65"/>
      <c r="AO871" s="65"/>
      <c r="AP871" s="65"/>
    </row>
    <row r="872" spans="1:42" ht="12.75" customHeight="1" x14ac:dyDescent="0.25">
      <c r="A872" s="65"/>
      <c r="B872" s="65"/>
      <c r="C872" s="66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  <c r="AD872" s="65"/>
      <c r="AE872" s="65"/>
      <c r="AF872" s="65"/>
      <c r="AG872" s="65"/>
      <c r="AH872" s="65"/>
      <c r="AI872" s="65"/>
      <c r="AJ872" s="65"/>
      <c r="AK872" s="65"/>
      <c r="AL872" s="65"/>
      <c r="AM872" s="65"/>
      <c r="AN872" s="65"/>
      <c r="AO872" s="65"/>
      <c r="AP872" s="65"/>
    </row>
    <row r="873" spans="1:42" ht="12.75" customHeight="1" x14ac:dyDescent="0.25">
      <c r="A873" s="65"/>
      <c r="B873" s="65"/>
      <c r="C873" s="66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  <c r="AD873" s="65"/>
      <c r="AE873" s="65"/>
      <c r="AF873" s="65"/>
      <c r="AG873" s="65"/>
      <c r="AH873" s="65"/>
      <c r="AI873" s="65"/>
      <c r="AJ873" s="65"/>
      <c r="AK873" s="65"/>
      <c r="AL873" s="65"/>
      <c r="AM873" s="65"/>
      <c r="AN873" s="65"/>
      <c r="AO873" s="65"/>
      <c r="AP873" s="65"/>
    </row>
    <row r="874" spans="1:42" ht="12.75" customHeight="1" x14ac:dyDescent="0.25">
      <c r="A874" s="65"/>
      <c r="B874" s="65"/>
      <c r="C874" s="66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  <c r="AD874" s="65"/>
      <c r="AE874" s="65"/>
      <c r="AF874" s="65"/>
      <c r="AG874" s="65"/>
      <c r="AH874" s="65"/>
      <c r="AI874" s="65"/>
      <c r="AJ874" s="65"/>
      <c r="AK874" s="65"/>
      <c r="AL874" s="65"/>
      <c r="AM874" s="65"/>
      <c r="AN874" s="65"/>
      <c r="AO874" s="65"/>
      <c r="AP874" s="65"/>
    </row>
    <row r="875" spans="1:42" ht="12.75" customHeight="1" x14ac:dyDescent="0.25">
      <c r="A875" s="65"/>
      <c r="B875" s="65"/>
      <c r="C875" s="66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65"/>
      <c r="AG875" s="65"/>
      <c r="AH875" s="65"/>
      <c r="AI875" s="65"/>
      <c r="AJ875" s="65"/>
      <c r="AK875" s="65"/>
      <c r="AL875" s="65"/>
      <c r="AM875" s="65"/>
      <c r="AN875" s="65"/>
      <c r="AO875" s="65"/>
      <c r="AP875" s="65"/>
    </row>
    <row r="876" spans="1:42" ht="12.75" customHeight="1" x14ac:dyDescent="0.25">
      <c r="A876" s="65"/>
      <c r="B876" s="65"/>
      <c r="C876" s="66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  <c r="AD876" s="65"/>
      <c r="AE876" s="65"/>
      <c r="AF876" s="65"/>
      <c r="AG876" s="65"/>
      <c r="AH876" s="65"/>
      <c r="AI876" s="65"/>
      <c r="AJ876" s="65"/>
      <c r="AK876" s="65"/>
      <c r="AL876" s="65"/>
      <c r="AM876" s="65"/>
      <c r="AN876" s="65"/>
      <c r="AO876" s="65"/>
      <c r="AP876" s="65"/>
    </row>
    <row r="877" spans="1:42" ht="12.75" customHeight="1" x14ac:dyDescent="0.25">
      <c r="A877" s="65"/>
      <c r="B877" s="65"/>
      <c r="C877" s="66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  <c r="AD877" s="65"/>
      <c r="AE877" s="65"/>
      <c r="AF877" s="65"/>
      <c r="AG877" s="65"/>
      <c r="AH877" s="65"/>
      <c r="AI877" s="65"/>
      <c r="AJ877" s="65"/>
      <c r="AK877" s="65"/>
      <c r="AL877" s="65"/>
      <c r="AM877" s="65"/>
      <c r="AN877" s="65"/>
      <c r="AO877" s="65"/>
      <c r="AP877" s="65"/>
    </row>
    <row r="878" spans="1:42" ht="12.75" customHeight="1" x14ac:dyDescent="0.25">
      <c r="A878" s="65"/>
      <c r="B878" s="65"/>
      <c r="C878" s="66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  <c r="AD878" s="65"/>
      <c r="AE878" s="65"/>
      <c r="AF878" s="65"/>
      <c r="AG878" s="65"/>
      <c r="AH878" s="65"/>
      <c r="AI878" s="65"/>
      <c r="AJ878" s="65"/>
      <c r="AK878" s="65"/>
      <c r="AL878" s="65"/>
      <c r="AM878" s="65"/>
      <c r="AN878" s="65"/>
      <c r="AO878" s="65"/>
      <c r="AP878" s="65"/>
    </row>
    <row r="879" spans="1:42" ht="12.75" customHeight="1" x14ac:dyDescent="0.25">
      <c r="A879" s="65"/>
      <c r="B879" s="65"/>
      <c r="C879" s="66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  <c r="AD879" s="65"/>
      <c r="AE879" s="65"/>
      <c r="AF879" s="65"/>
      <c r="AG879" s="65"/>
      <c r="AH879" s="65"/>
      <c r="AI879" s="65"/>
      <c r="AJ879" s="65"/>
      <c r="AK879" s="65"/>
      <c r="AL879" s="65"/>
      <c r="AM879" s="65"/>
      <c r="AN879" s="65"/>
      <c r="AO879" s="65"/>
      <c r="AP879" s="65"/>
    </row>
    <row r="880" spans="1:42" ht="12.75" customHeight="1" x14ac:dyDescent="0.25">
      <c r="A880" s="65"/>
      <c r="B880" s="65"/>
      <c r="C880" s="66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  <c r="AD880" s="65"/>
      <c r="AE880" s="65"/>
      <c r="AF880" s="65"/>
      <c r="AG880" s="65"/>
      <c r="AH880" s="65"/>
      <c r="AI880" s="65"/>
      <c r="AJ880" s="65"/>
      <c r="AK880" s="65"/>
      <c r="AL880" s="65"/>
      <c r="AM880" s="65"/>
      <c r="AN880" s="65"/>
      <c r="AO880" s="65"/>
      <c r="AP880" s="65"/>
    </row>
  </sheetData>
  <mergeCells count="115">
    <mergeCell ref="B87:C87"/>
    <mergeCell ref="H32:H33"/>
    <mergeCell ref="B65:C65"/>
    <mergeCell ref="G32:G33"/>
    <mergeCell ref="AP32:AP33"/>
    <mergeCell ref="B74:C74"/>
    <mergeCell ref="A20:B20"/>
    <mergeCell ref="B68:C68"/>
    <mergeCell ref="A1:C1"/>
    <mergeCell ref="D26:G27"/>
    <mergeCell ref="AM32:AM33"/>
    <mergeCell ref="A13:B13"/>
    <mergeCell ref="B36:C36"/>
    <mergeCell ref="B50:C50"/>
    <mergeCell ref="AO32:AO33"/>
    <mergeCell ref="B46:C46"/>
    <mergeCell ref="C26:C27"/>
    <mergeCell ref="AN32:AN33"/>
    <mergeCell ref="F32:F33"/>
    <mergeCell ref="B70:C70"/>
    <mergeCell ref="B39:C39"/>
    <mergeCell ref="B48:C48"/>
    <mergeCell ref="E11:V11"/>
    <mergeCell ref="A18:B18"/>
    <mergeCell ref="AL32:AL33"/>
    <mergeCell ref="A22:C22"/>
    <mergeCell ref="B42:C42"/>
    <mergeCell ref="B60:C60"/>
    <mergeCell ref="A2:C4"/>
    <mergeCell ref="B88:C88"/>
    <mergeCell ref="B57:C57"/>
    <mergeCell ref="B82:C82"/>
    <mergeCell ref="A12:B12"/>
    <mergeCell ref="A28:C28"/>
    <mergeCell ref="A21:B21"/>
    <mergeCell ref="C23:C24"/>
    <mergeCell ref="B44:C44"/>
    <mergeCell ref="E32:E33"/>
    <mergeCell ref="B34:C34"/>
    <mergeCell ref="A14:B14"/>
    <mergeCell ref="B83:C83"/>
    <mergeCell ref="S32:S33"/>
    <mergeCell ref="AE32:AE33"/>
    <mergeCell ref="B76:C76"/>
    <mergeCell ref="B45:C45"/>
    <mergeCell ref="B85:C85"/>
    <mergeCell ref="Q32:Q33"/>
    <mergeCell ref="AK32:AK33"/>
    <mergeCell ref="B90:C90"/>
    <mergeCell ref="A11:B11"/>
    <mergeCell ref="B66:C66"/>
    <mergeCell ref="O32:O33"/>
    <mergeCell ref="A5:C5"/>
    <mergeCell ref="AI32:AI33"/>
    <mergeCell ref="B53:C53"/>
    <mergeCell ref="B37:C37"/>
    <mergeCell ref="B84:C84"/>
    <mergeCell ref="A8:B8"/>
    <mergeCell ref="A31:C33"/>
    <mergeCell ref="T32:T33"/>
    <mergeCell ref="B80:C80"/>
    <mergeCell ref="B89:C89"/>
    <mergeCell ref="AC32:AC33"/>
    <mergeCell ref="B79:C79"/>
    <mergeCell ref="A7:C7"/>
    <mergeCell ref="A25:C25"/>
    <mergeCell ref="B54:C54"/>
    <mergeCell ref="AB32:AB33"/>
    <mergeCell ref="B72:C72"/>
    <mergeCell ref="B81:C81"/>
    <mergeCell ref="B56:C56"/>
    <mergeCell ref="B71:C71"/>
    <mergeCell ref="AJ32:AJ33"/>
    <mergeCell ref="B55:C55"/>
    <mergeCell ref="B64:C64"/>
    <mergeCell ref="B51:C51"/>
    <mergeCell ref="A19:B19"/>
    <mergeCell ref="A6:C6"/>
    <mergeCell ref="AH32:AH33"/>
    <mergeCell ref="B63:C63"/>
    <mergeCell ref="B41:C41"/>
    <mergeCell ref="A9:B9"/>
    <mergeCell ref="B35:C35"/>
    <mergeCell ref="B43:C43"/>
    <mergeCell ref="B58:C58"/>
    <mergeCell ref="B52:C52"/>
    <mergeCell ref="I33:N33"/>
    <mergeCell ref="A29:B30"/>
    <mergeCell ref="B47:C47"/>
    <mergeCell ref="B62:C62"/>
    <mergeCell ref="B59:C59"/>
    <mergeCell ref="A10:C10"/>
    <mergeCell ref="AG32:AG33"/>
    <mergeCell ref="R32:R33"/>
    <mergeCell ref="B69:C69"/>
    <mergeCell ref="B38:C38"/>
    <mergeCell ref="AD32:AD33"/>
    <mergeCell ref="B78:C78"/>
    <mergeCell ref="AF32:AF33"/>
    <mergeCell ref="P32:P33"/>
    <mergeCell ref="A17:B17"/>
    <mergeCell ref="B40:C40"/>
    <mergeCell ref="B49:C49"/>
    <mergeCell ref="B75:C75"/>
    <mergeCell ref="B73:C73"/>
    <mergeCell ref="U33:AA33"/>
    <mergeCell ref="A26:B27"/>
    <mergeCell ref="C29:C30"/>
    <mergeCell ref="A15:C16"/>
    <mergeCell ref="B77:C77"/>
    <mergeCell ref="D32:D33"/>
    <mergeCell ref="B86:C86"/>
    <mergeCell ref="A23:B24"/>
    <mergeCell ref="B67:C67"/>
    <mergeCell ref="B61:C61"/>
  </mergeCells>
  <conditionalFormatting sqref="AC35:AC251 AE35:AE251">
    <cfRule type="cellIs" dxfId="3" priority="1" operator="greaterThanOrEqual">
      <formula>0.3</formula>
    </cfRule>
    <cfRule type="cellIs" dxfId="2" priority="2" operator="lessThan">
      <formula>0.3</formula>
    </cfRule>
  </conditionalFormatting>
  <conditionalFormatting sqref="AB35:AB251 AD35:AD251">
    <cfRule type="cellIs" dxfId="1" priority="3" operator="greaterThanOrEqual">
      <formula>50</formula>
    </cfRule>
    <cfRule type="cellIs" dxfId="0" priority="4" operator="lessThan">
      <formula>50</formula>
    </cfRule>
  </conditionalFormatting>
  <dataValidations count="3">
    <dataValidation type="list" allowBlank="1" showErrorMessage="1" sqref="E35:E251">
      <formula1>"RMB,$$$"</formula1>
    </dataValidation>
    <dataValidation type="list" allowBlank="1" showErrorMessage="1" sqref="AO35:AO251">
      <formula1>"Furnizor produs,Alt furnizor,Agent,Din alta parte,Nu este nevoie"</formula1>
    </dataValidation>
    <dataValidation type="list" allowBlank="1" showErrorMessage="1" sqref="A2">
      <formula1>"Impozit pe profit neplatitor de TVA,Impozit pe profit platitor de TVA,Microintreprindere (un angajat minim) neplatitor de TVA,Microintreprindere (un angajat minim) platitor de TVA"</formula1>
    </dataValidation>
  </dataValidations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5"/>
  <sheetViews>
    <sheetView workbookViewId="0"/>
  </sheetViews>
  <sheetFormatPr defaultColWidth="12.6640625" defaultRowHeight="15" customHeight="1" x14ac:dyDescent="0.25"/>
  <cols>
    <col min="3" max="3" width="28.109375" style="86" customWidth="1"/>
    <col min="4" max="4" width="45.44140625" style="86" customWidth="1"/>
    <col min="5" max="5" width="18.88671875" style="86" customWidth="1"/>
    <col min="6" max="6" width="20.77734375" style="86" customWidth="1"/>
  </cols>
  <sheetData>
    <row r="1" spans="1:11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1" ht="15" customHeight="1" x14ac:dyDescent="0.85">
      <c r="A2" s="1"/>
      <c r="B2" s="1"/>
      <c r="C2" s="1"/>
      <c r="D2" s="126" t="s">
        <v>129</v>
      </c>
      <c r="E2" s="104"/>
      <c r="F2" s="104"/>
      <c r="G2" s="90">
        <f>IF(C11&gt;10, INT((C11-10)/10)*3, 0)</f>
        <v>0</v>
      </c>
      <c r="H2" s="90" t="s">
        <v>130</v>
      </c>
      <c r="I2" s="1"/>
      <c r="J2" s="1"/>
    </row>
    <row r="3" spans="1:11" ht="15" customHeight="1" x14ac:dyDescent="0.5">
      <c r="A3" s="92"/>
      <c r="B3" s="92"/>
      <c r="C3" s="9" t="s">
        <v>131</v>
      </c>
      <c r="D3" s="91" t="s">
        <v>132</v>
      </c>
      <c r="E3" s="10" t="s">
        <v>133</v>
      </c>
      <c r="F3" s="10" t="s">
        <v>134</v>
      </c>
      <c r="G3" s="10" t="s">
        <v>135</v>
      </c>
      <c r="H3" s="92"/>
      <c r="I3" s="92"/>
      <c r="J3" s="11" t="s">
        <v>136</v>
      </c>
    </row>
    <row r="4" spans="1:11" ht="15" customHeight="1" x14ac:dyDescent="0.45">
      <c r="A4" s="92"/>
      <c r="B4" s="92"/>
      <c r="C4" s="11" t="s">
        <v>137</v>
      </c>
      <c r="D4" s="12">
        <v>3</v>
      </c>
      <c r="E4" s="12">
        <v>7</v>
      </c>
      <c r="F4" s="12">
        <f>E4*4*D4</f>
        <v>84</v>
      </c>
      <c r="G4" s="12">
        <f>F4*50</f>
        <v>4200</v>
      </c>
      <c r="H4" s="92"/>
      <c r="I4" s="92"/>
      <c r="J4" s="92" t="s">
        <v>138</v>
      </c>
    </row>
    <row r="5" spans="1:11" ht="15" customHeight="1" x14ac:dyDescent="0.45">
      <c r="A5" s="92"/>
      <c r="B5" s="92"/>
      <c r="C5" s="14" t="s">
        <v>139</v>
      </c>
      <c r="D5" s="12">
        <v>3</v>
      </c>
      <c r="E5" s="12">
        <v>3</v>
      </c>
      <c r="F5" s="12">
        <f>E5*4*D5</f>
        <v>36</v>
      </c>
      <c r="G5" s="12">
        <f>F5*50</f>
        <v>1800</v>
      </c>
      <c r="H5" s="92"/>
      <c r="I5" s="92"/>
      <c r="J5" s="92" t="s">
        <v>140</v>
      </c>
    </row>
    <row r="6" spans="1:11" ht="15" customHeight="1" x14ac:dyDescent="0.45">
      <c r="A6" s="92"/>
      <c r="B6" s="92"/>
      <c r="C6" s="18" t="s">
        <v>141</v>
      </c>
      <c r="D6" s="12">
        <v>4</v>
      </c>
      <c r="E6" s="12">
        <v>1</v>
      </c>
      <c r="F6" s="12">
        <f>E6*4*D6</f>
        <v>16</v>
      </c>
      <c r="G6" s="12">
        <f>F6*50</f>
        <v>800</v>
      </c>
      <c r="H6" s="92"/>
      <c r="I6" s="92"/>
      <c r="J6" s="92" t="s">
        <v>142</v>
      </c>
    </row>
    <row r="7" spans="1:11" ht="1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5" customHeight="1" x14ac:dyDescent="0.55000000000000004">
      <c r="A8" s="1"/>
      <c r="B8" s="1"/>
      <c r="C8" s="1"/>
      <c r="D8" s="1"/>
      <c r="E8" s="1"/>
      <c r="F8" s="1"/>
      <c r="G8" s="1"/>
      <c r="H8" s="1"/>
      <c r="I8" s="1"/>
      <c r="J8" s="21" t="s">
        <v>143</v>
      </c>
    </row>
    <row r="9" spans="1:11" ht="15" customHeight="1" x14ac:dyDescent="0.55000000000000004">
      <c r="A9" s="92"/>
      <c r="B9" s="92"/>
      <c r="C9" s="92"/>
      <c r="D9" s="91"/>
      <c r="E9" s="91"/>
      <c r="F9" s="23"/>
      <c r="G9" s="24"/>
      <c r="H9" s="21"/>
      <c r="I9" s="12"/>
      <c r="J9" s="21"/>
      <c r="K9" s="11"/>
    </row>
    <row r="10" spans="1:11" ht="15" customHeight="1" x14ac:dyDescent="0.55000000000000004">
      <c r="A10" s="128" t="s">
        <v>144</v>
      </c>
      <c r="B10" s="104"/>
      <c r="C10" s="104"/>
      <c r="D10" s="127"/>
      <c r="E10" s="104"/>
      <c r="F10" s="23" t="s">
        <v>145</v>
      </c>
      <c r="G10" s="24">
        <f>SUM(G4:G6)</f>
        <v>6800</v>
      </c>
      <c r="H10" s="21" t="s">
        <v>146</v>
      </c>
      <c r="I10" s="12">
        <v>1500</v>
      </c>
      <c r="J10" s="21" t="s">
        <v>146</v>
      </c>
      <c r="K10" s="11" t="s">
        <v>147</v>
      </c>
    </row>
    <row r="11" spans="1:11" ht="15" customHeight="1" x14ac:dyDescent="0.55000000000000004">
      <c r="A11" s="1"/>
      <c r="B11" s="1"/>
      <c r="C11" s="25">
        <f>SUM(D4:D6)</f>
        <v>10</v>
      </c>
      <c r="D11" s="25" t="s">
        <v>148</v>
      </c>
      <c r="E11" s="1"/>
      <c r="F11" s="1"/>
      <c r="G11" s="1"/>
      <c r="H11" s="1"/>
      <c r="I11" s="12">
        <f>G10-I10</f>
        <v>5300</v>
      </c>
      <c r="J11" s="21" t="s">
        <v>146</v>
      </c>
      <c r="K11" s="27" t="s">
        <v>149</v>
      </c>
    </row>
    <row r="12" spans="1:11" ht="1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1" ht="1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ht="15" customHeight="1" x14ac:dyDescent="0.6">
      <c r="A14" s="1"/>
      <c r="B14" s="1"/>
      <c r="C14" s="1"/>
      <c r="D14" s="1"/>
      <c r="E14" s="30" t="s">
        <v>150</v>
      </c>
      <c r="F14" s="21"/>
      <c r="G14" s="31">
        <f>SUM(F4:F6)*40</f>
        <v>5440</v>
      </c>
      <c r="H14" s="21" t="s">
        <v>146</v>
      </c>
      <c r="I14" s="1"/>
      <c r="J14" s="1"/>
    </row>
    <row r="15" spans="1:11" x14ac:dyDescent="0.25">
      <c r="E15" s="33" t="s">
        <v>151</v>
      </c>
    </row>
  </sheetData>
  <mergeCells count="3">
    <mergeCell ref="D2:F2"/>
    <mergeCell ref="D10:E10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E28"/>
  <sheetViews>
    <sheetView workbookViewId="0"/>
  </sheetViews>
  <sheetFormatPr defaultColWidth="12.6640625" defaultRowHeight="15" customHeight="1" x14ac:dyDescent="0.25"/>
  <cols>
    <col min="2" max="2" width="15.44140625" style="86" customWidth="1"/>
    <col min="3" max="3" width="44.33203125" style="86" customWidth="1"/>
    <col min="4" max="4" width="15" style="86" customWidth="1"/>
  </cols>
  <sheetData>
    <row r="2" spans="2:5" ht="15" customHeight="1" x14ac:dyDescent="0.4">
      <c r="B2" s="2"/>
      <c r="C2" s="2"/>
      <c r="D2" s="3"/>
      <c r="E2" s="2"/>
    </row>
    <row r="3" spans="2:5" ht="15" customHeight="1" x14ac:dyDescent="0.4">
      <c r="B3" s="4" t="s">
        <v>152</v>
      </c>
      <c r="C3" s="5" t="s">
        <v>153</v>
      </c>
      <c r="D3" s="6">
        <v>9000</v>
      </c>
      <c r="E3" s="4"/>
    </row>
    <row r="4" spans="2:5" ht="15" customHeight="1" x14ac:dyDescent="0.4">
      <c r="B4" s="4"/>
      <c r="C4" s="7" t="s">
        <v>154</v>
      </c>
      <c r="D4" s="8">
        <v>150</v>
      </c>
      <c r="E4" s="4"/>
    </row>
    <row r="5" spans="2:5" ht="15" customHeight="1" x14ac:dyDescent="0.4">
      <c r="B5" s="4"/>
      <c r="C5" s="7" t="s">
        <v>155</v>
      </c>
      <c r="D5" s="13">
        <f>D3/D4</f>
        <v>60</v>
      </c>
      <c r="E5" s="4"/>
    </row>
    <row r="6" spans="2:5" ht="15" customHeight="1" x14ac:dyDescent="0.4">
      <c r="B6" s="4"/>
      <c r="C6" s="4"/>
      <c r="D6" s="15"/>
      <c r="E6" s="4"/>
    </row>
    <row r="7" spans="2:5" ht="15" customHeight="1" x14ac:dyDescent="0.4">
      <c r="B7" s="4"/>
      <c r="C7" s="4"/>
      <c r="D7" s="15"/>
      <c r="E7" s="4"/>
    </row>
    <row r="8" spans="2:5" ht="15" customHeight="1" x14ac:dyDescent="0.4">
      <c r="B8" s="4" t="s">
        <v>156</v>
      </c>
      <c r="C8" s="17" t="s">
        <v>157</v>
      </c>
      <c r="D8" s="15"/>
      <c r="E8" s="4"/>
    </row>
    <row r="9" spans="2:5" ht="15" customHeight="1" x14ac:dyDescent="0.4">
      <c r="B9" s="4"/>
      <c r="C9" s="5" t="s">
        <v>158</v>
      </c>
      <c r="D9" s="19">
        <v>5000</v>
      </c>
      <c r="E9" s="4"/>
    </row>
    <row r="10" spans="2:5" ht="15" customHeight="1" x14ac:dyDescent="0.4">
      <c r="B10" s="4"/>
      <c r="C10" s="7" t="s">
        <v>154</v>
      </c>
      <c r="D10" s="8">
        <v>40</v>
      </c>
      <c r="E10" s="4"/>
    </row>
    <row r="11" spans="2:5" ht="15" customHeight="1" x14ac:dyDescent="0.4">
      <c r="B11" s="4"/>
      <c r="C11" s="7" t="s">
        <v>155</v>
      </c>
      <c r="D11" s="8" t="s">
        <v>159</v>
      </c>
      <c r="E11" s="4"/>
    </row>
    <row r="12" spans="2:5" ht="15" customHeight="1" x14ac:dyDescent="0.4">
      <c r="B12" s="4"/>
      <c r="C12" s="4"/>
      <c r="D12" s="15"/>
      <c r="E12" s="4"/>
    </row>
    <row r="13" spans="2:5" ht="15" customHeight="1" x14ac:dyDescent="0.4">
      <c r="B13" s="4" t="s">
        <v>160</v>
      </c>
      <c r="C13" s="20" t="s">
        <v>161</v>
      </c>
      <c r="D13" s="15"/>
      <c r="E13" s="22"/>
    </row>
    <row r="14" spans="2:5" ht="15" customHeight="1" x14ac:dyDescent="0.4">
      <c r="B14" s="4"/>
      <c r="C14" s="4"/>
      <c r="D14" s="15"/>
      <c r="E14" s="4"/>
    </row>
    <row r="15" spans="2:5" ht="15" customHeight="1" x14ac:dyDescent="0.4">
      <c r="B15" s="4"/>
      <c r="C15" s="5" t="s">
        <v>158</v>
      </c>
      <c r="D15" s="6">
        <v>9000</v>
      </c>
      <c r="E15" s="4"/>
    </row>
    <row r="16" spans="2:5" ht="15" customHeight="1" x14ac:dyDescent="0.4">
      <c r="B16" s="4"/>
      <c r="C16" s="7" t="s">
        <v>154</v>
      </c>
      <c r="D16" s="8">
        <v>60</v>
      </c>
      <c r="E16" s="4"/>
    </row>
    <row r="17" spans="2:5" ht="15" customHeight="1" x14ac:dyDescent="0.4">
      <c r="B17" s="4"/>
      <c r="C17" s="7" t="s">
        <v>162</v>
      </c>
      <c r="D17" s="8">
        <v>120</v>
      </c>
      <c r="E17" s="4"/>
    </row>
    <row r="18" spans="2:5" ht="21" customHeight="1" x14ac:dyDescent="0.4">
      <c r="B18" s="4"/>
      <c r="C18" s="7" t="s">
        <v>163</v>
      </c>
      <c r="D18" s="26">
        <f>D17/30</f>
        <v>4</v>
      </c>
      <c r="E18" s="4"/>
    </row>
    <row r="19" spans="2:5" ht="21" customHeight="1" x14ac:dyDescent="0.4">
      <c r="B19" s="4"/>
      <c r="C19" s="7" t="s">
        <v>164</v>
      </c>
      <c r="D19" s="28">
        <f>D15/D16</f>
        <v>150</v>
      </c>
      <c r="E19" s="4"/>
    </row>
    <row r="20" spans="2:5" ht="21" customHeight="1" x14ac:dyDescent="0.4">
      <c r="B20" s="4"/>
      <c r="C20" s="4"/>
      <c r="D20" s="15"/>
      <c r="E20" s="4"/>
    </row>
    <row r="21" spans="2:5" ht="21" customHeight="1" x14ac:dyDescent="0.4">
      <c r="B21" s="4"/>
      <c r="C21" s="4"/>
      <c r="D21" s="15"/>
      <c r="E21" s="4"/>
    </row>
    <row r="22" spans="2:5" ht="21" customHeight="1" x14ac:dyDescent="0.4">
      <c r="B22" s="4"/>
      <c r="C22" s="20" t="s">
        <v>165</v>
      </c>
      <c r="D22" s="15"/>
      <c r="E22" s="4"/>
    </row>
    <row r="23" spans="2:5" ht="21" customHeight="1" x14ac:dyDescent="0.4">
      <c r="B23" s="4"/>
      <c r="C23" s="4"/>
      <c r="D23" s="15"/>
      <c r="E23" s="4"/>
    </row>
    <row r="24" spans="2:5" ht="23.4" customHeight="1" x14ac:dyDescent="0.45">
      <c r="B24" s="4"/>
      <c r="C24" s="5" t="s">
        <v>166</v>
      </c>
      <c r="D24" s="32">
        <f>D19-D5</f>
        <v>90</v>
      </c>
      <c r="E24" s="4"/>
    </row>
    <row r="25" spans="2:5" ht="21" customHeight="1" x14ac:dyDescent="0.4">
      <c r="B25" s="4"/>
      <c r="C25" s="7" t="s">
        <v>167</v>
      </c>
      <c r="D25" s="28" t="s">
        <v>168</v>
      </c>
      <c r="E25" s="4"/>
    </row>
    <row r="26" spans="2:5" ht="23.4" customHeight="1" x14ac:dyDescent="0.45">
      <c r="B26" s="4"/>
      <c r="C26" s="7" t="s">
        <v>169</v>
      </c>
      <c r="D26" s="35" t="s">
        <v>170</v>
      </c>
      <c r="E26" s="4"/>
    </row>
    <row r="27" spans="2:5" ht="21" customHeight="1" x14ac:dyDescent="0.4">
      <c r="B27" s="36"/>
      <c r="C27" s="36"/>
      <c r="D27" s="15"/>
      <c r="E27" s="36"/>
    </row>
    <row r="28" spans="2:5" ht="21" customHeight="1" x14ac:dyDescent="0.4">
      <c r="B28" s="36"/>
      <c r="C28" s="36"/>
      <c r="D28" s="15"/>
      <c r="E28" s="3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Plan de Actiune</vt:lpstr>
      <vt:lpstr>Costul inactiunii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Gheorghe Luta</cp:lastModifiedBy>
  <dcterms:created xsi:type="dcterms:W3CDTF">2021-12-17T12:43:12Z</dcterms:created>
  <dcterms:modified xsi:type="dcterms:W3CDTF">2026-09-11T13:17:22Z</dcterms:modified>
</cp:coreProperties>
</file>